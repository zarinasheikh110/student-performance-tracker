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ata" sheetId="1" state="visible" r:id="rId3"/>
    <sheet name="Student Lookup" sheetId="2" state="visible" r:id="rId4"/>
    <sheet name="Class Summary" sheetId="3" state="visible" r:id="rId5"/>
  </sheets>
  <definedNames>
    <definedName function="false" hidden="true" localSheetId="0" name="_xlnm._FilterDatabase" vbProcedure="false">'Student Data'!$A$1:$J$121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<sst xmlns="http://schemas.openxmlformats.org/spreadsheetml/2006/main" count="393" uniqueCount="266">
  <si>
    <t xml:space="preserve">StudentID</t>
  </si>
  <si>
    <t xml:space="preserve">Name</t>
  </si>
  <si>
    <t xml:space="preserve">Class</t>
  </si>
  <si>
    <t xml:space="preserve">Attendance%</t>
  </si>
  <si>
    <t xml:space="preserve">Test1</t>
  </si>
  <si>
    <t xml:space="preserve">Test2</t>
  </si>
  <si>
    <t xml:space="preserve">Test3</t>
  </si>
  <si>
    <t xml:space="preserve">FinalExam</t>
  </si>
  <si>
    <t xml:space="preserve">Average</t>
  </si>
  <si>
    <t xml:space="preserve">Status</t>
  </si>
  <si>
    <t xml:space="preserve">STU1001</t>
  </si>
  <si>
    <t xml:space="preserve">Amit Khan</t>
  </si>
  <si>
    <t xml:space="preserve">Grade 9-A</t>
  </si>
  <si>
    <t xml:space="preserve">STU1002</t>
  </si>
  <si>
    <t xml:space="preserve">Nikhil Iyer</t>
  </si>
  <si>
    <t xml:space="preserve">Grade 11-A</t>
  </si>
  <si>
    <t xml:space="preserve">STU1003</t>
  </si>
  <si>
    <t xml:space="preserve">Reyansh Pillai</t>
  </si>
  <si>
    <t xml:space="preserve">Grade 10-B</t>
  </si>
  <si>
    <t xml:space="preserve">STU1004</t>
  </si>
  <si>
    <t xml:space="preserve">Siddharth Malhotra</t>
  </si>
  <si>
    <t xml:space="preserve">Grade 10-A</t>
  </si>
  <si>
    <t xml:space="preserve">STU1005</t>
  </si>
  <si>
    <t xml:space="preserve">Rahul Chopra</t>
  </si>
  <si>
    <t xml:space="preserve">STU1006</t>
  </si>
  <si>
    <t xml:space="preserve">Ishita Pillai</t>
  </si>
  <si>
    <t xml:space="preserve">STU1007</t>
  </si>
  <si>
    <t xml:space="preserve">Rohan Nair</t>
  </si>
  <si>
    <t xml:space="preserve">STU1008</t>
  </si>
  <si>
    <t xml:space="preserve">Simran Gupta</t>
  </si>
  <si>
    <t xml:space="preserve">STU1009</t>
  </si>
  <si>
    <t xml:space="preserve">Amit Gupta</t>
  </si>
  <si>
    <t xml:space="preserve">STU1010</t>
  </si>
  <si>
    <t xml:space="preserve">Ritika Nair</t>
  </si>
  <si>
    <t xml:space="preserve">STU1011</t>
  </si>
  <si>
    <t xml:space="preserve">Riya Iyer</t>
  </si>
  <si>
    <t xml:space="preserve">Grade 9-B</t>
  </si>
  <si>
    <t xml:space="preserve">STU1012</t>
  </si>
  <si>
    <t xml:space="preserve">Shreya Bhat</t>
  </si>
  <si>
    <t xml:space="preserve">STU1013</t>
  </si>
  <si>
    <t xml:space="preserve">Anjali Kapoor</t>
  </si>
  <si>
    <t xml:space="preserve">STU1014</t>
  </si>
  <si>
    <t xml:space="preserve">Meera Patel</t>
  </si>
  <si>
    <t xml:space="preserve">STU1015</t>
  </si>
  <si>
    <t xml:space="preserve">Priyanka Singh</t>
  </si>
  <si>
    <t xml:space="preserve">STU1016</t>
  </si>
  <si>
    <t xml:space="preserve">Riya Joshi</t>
  </si>
  <si>
    <t xml:space="preserve">STU1017</t>
  </si>
  <si>
    <t xml:space="preserve">Harsh Gupta</t>
  </si>
  <si>
    <t xml:space="preserve">STU1018</t>
  </si>
  <si>
    <t xml:space="preserve">Sneha Chopra</t>
  </si>
  <si>
    <t xml:space="preserve">STU1019</t>
  </si>
  <si>
    <t xml:space="preserve">Priya Khan</t>
  </si>
  <si>
    <t xml:space="preserve">STU1020</t>
  </si>
  <si>
    <t xml:space="preserve">Ishita Iyer</t>
  </si>
  <si>
    <t xml:space="preserve">STU1021</t>
  </si>
  <si>
    <t xml:space="preserve">Ritika Gupta</t>
  </si>
  <si>
    <t xml:space="preserve">STU1022</t>
  </si>
  <si>
    <t xml:space="preserve">Siddharth Reddy</t>
  </si>
  <si>
    <t xml:space="preserve">STU1023</t>
  </si>
  <si>
    <t xml:space="preserve">Diya Nair</t>
  </si>
  <si>
    <t xml:space="preserve">STU1024</t>
  </si>
  <si>
    <t xml:space="preserve">Amit Verma</t>
  </si>
  <si>
    <t xml:space="preserve">STU1025</t>
  </si>
  <si>
    <t xml:space="preserve">Divya Reddy</t>
  </si>
  <si>
    <t xml:space="preserve">STU1026</t>
  </si>
  <si>
    <t xml:space="preserve">Aditya Reddy</t>
  </si>
  <si>
    <t xml:space="preserve">STU1027</t>
  </si>
  <si>
    <t xml:space="preserve">Kritika Khan</t>
  </si>
  <si>
    <t xml:space="preserve">STU1028</t>
  </si>
  <si>
    <t xml:space="preserve">Rohit Patel</t>
  </si>
  <si>
    <t xml:space="preserve">STU1029</t>
  </si>
  <si>
    <t xml:space="preserve">Ritika Khan</t>
  </si>
  <si>
    <t xml:space="preserve">STU1030</t>
  </si>
  <si>
    <t xml:space="preserve">Diya Gupta</t>
  </si>
  <si>
    <t xml:space="preserve">STU1031</t>
  </si>
  <si>
    <t xml:space="preserve">Vikram Singh</t>
  </si>
  <si>
    <t xml:space="preserve">STU1032</t>
  </si>
  <si>
    <t xml:space="preserve">Divya Patel</t>
  </si>
  <si>
    <t xml:space="preserve">STU1033</t>
  </si>
  <si>
    <t xml:space="preserve">Ananya Verma</t>
  </si>
  <si>
    <t xml:space="preserve">STU1034</t>
  </si>
  <si>
    <t xml:space="preserve">Kavya Iyer</t>
  </si>
  <si>
    <t xml:space="preserve">STU1035</t>
  </si>
  <si>
    <t xml:space="preserve">Anjali Bose</t>
  </si>
  <si>
    <t xml:space="preserve">STU1036</t>
  </si>
  <si>
    <t xml:space="preserve">Aditi Joshi</t>
  </si>
  <si>
    <t xml:space="preserve">STU1037</t>
  </si>
  <si>
    <t xml:space="preserve">Vivaan Sharma</t>
  </si>
  <si>
    <t xml:space="preserve">STU1038</t>
  </si>
  <si>
    <t xml:space="preserve">Arjun Chopra</t>
  </si>
  <si>
    <t xml:space="preserve">STU1039</t>
  </si>
  <si>
    <t xml:space="preserve">Pallavi Desai</t>
  </si>
  <si>
    <t xml:space="preserve">STU1040</t>
  </si>
  <si>
    <t xml:space="preserve">Yash Khan</t>
  </si>
  <si>
    <t xml:space="preserve">STU1041</t>
  </si>
  <si>
    <t xml:space="preserve">Kritika Singh</t>
  </si>
  <si>
    <t xml:space="preserve">STU1042</t>
  </si>
  <si>
    <t xml:space="preserve">Riya Verma</t>
  </si>
  <si>
    <t xml:space="preserve">STU1043</t>
  </si>
  <si>
    <t xml:space="preserve">Isha Malhotra</t>
  </si>
  <si>
    <t xml:space="preserve">STU1044</t>
  </si>
  <si>
    <t xml:space="preserve">Simran Kulkarni</t>
  </si>
  <si>
    <t xml:space="preserve">STU1045</t>
  </si>
  <si>
    <t xml:space="preserve">Rohan Chopra</t>
  </si>
  <si>
    <t xml:space="preserve">STU1046</t>
  </si>
  <si>
    <t xml:space="preserve">Pallavi Patel</t>
  </si>
  <si>
    <t xml:space="preserve">STU1047</t>
  </si>
  <si>
    <t xml:space="preserve">Swati Joshi</t>
  </si>
  <si>
    <t xml:space="preserve">STU1048</t>
  </si>
  <si>
    <t xml:space="preserve">Kabir Kapoor</t>
  </si>
  <si>
    <t xml:space="preserve">STU1049</t>
  </si>
  <si>
    <t xml:space="preserve">Sai Nair</t>
  </si>
  <si>
    <t xml:space="preserve">STU1050</t>
  </si>
  <si>
    <t xml:space="preserve">Rahul Desai</t>
  </si>
  <si>
    <t xml:space="preserve">STU1051</t>
  </si>
  <si>
    <t xml:space="preserve">Yash Gupta</t>
  </si>
  <si>
    <t xml:space="preserve">STU1052</t>
  </si>
  <si>
    <t xml:space="preserve">Karan Malhotra</t>
  </si>
  <si>
    <t xml:space="preserve">STU1053</t>
  </si>
  <si>
    <t xml:space="preserve">Nisha Sharma</t>
  </si>
  <si>
    <t xml:space="preserve">STU1054</t>
  </si>
  <si>
    <t xml:space="preserve">Simran Malhotra</t>
  </si>
  <si>
    <t xml:space="preserve">STU1055</t>
  </si>
  <si>
    <t xml:space="preserve">Pooja Desai</t>
  </si>
  <si>
    <t xml:space="preserve">STU1056</t>
  </si>
  <si>
    <t xml:space="preserve">Varun Kapoor</t>
  </si>
  <si>
    <t xml:space="preserve">STU1057</t>
  </si>
  <si>
    <t xml:space="preserve">Nisha Kulkarni</t>
  </si>
  <si>
    <t xml:space="preserve">STU1058</t>
  </si>
  <si>
    <t xml:space="preserve">Swati Gupta</t>
  </si>
  <si>
    <t xml:space="preserve">STU1059</t>
  </si>
  <si>
    <t xml:space="preserve">Diya Mehta</t>
  </si>
  <si>
    <t xml:space="preserve">STU1060</t>
  </si>
  <si>
    <t xml:space="preserve">Namrata Iyer</t>
  </si>
  <si>
    <t xml:space="preserve">STU1061</t>
  </si>
  <si>
    <t xml:space="preserve">Diya Patel</t>
  </si>
  <si>
    <t xml:space="preserve">STU1062</t>
  </si>
  <si>
    <t xml:space="preserve">Siddharth Desai</t>
  </si>
  <si>
    <t xml:space="preserve">STU1063</t>
  </si>
  <si>
    <t xml:space="preserve">Varun Desai</t>
  </si>
  <si>
    <t xml:space="preserve">STU1064</t>
  </si>
  <si>
    <t xml:space="preserve">Harsh Malhotra</t>
  </si>
  <si>
    <t xml:space="preserve">STU1065</t>
  </si>
  <si>
    <t xml:space="preserve">Amit Singh</t>
  </si>
  <si>
    <t xml:space="preserve">STU1066</t>
  </si>
  <si>
    <t xml:space="preserve">Neha Joshi</t>
  </si>
  <si>
    <t xml:space="preserve">STU1067</t>
  </si>
  <si>
    <t xml:space="preserve">Aditya Malhotra</t>
  </si>
  <si>
    <t xml:space="preserve">STU1068</t>
  </si>
  <si>
    <t xml:space="preserve">Anjali Sharma</t>
  </si>
  <si>
    <t xml:space="preserve">STU1069</t>
  </si>
  <si>
    <t xml:space="preserve">Aditya Pillai</t>
  </si>
  <si>
    <t xml:space="preserve">STU1070</t>
  </si>
  <si>
    <t xml:space="preserve">Vikram Joshi</t>
  </si>
  <si>
    <t xml:space="preserve">STU1071</t>
  </si>
  <si>
    <t xml:space="preserve">Tanya Kulkarni</t>
  </si>
  <si>
    <t xml:space="preserve">STU1072</t>
  </si>
  <si>
    <t xml:space="preserve">Yash Kapoor</t>
  </si>
  <si>
    <t xml:space="preserve">STU1073</t>
  </si>
  <si>
    <t xml:space="preserve">Aditya Singh</t>
  </si>
  <si>
    <t xml:space="preserve">STU1074</t>
  </si>
  <si>
    <t xml:space="preserve">Vivaan Verma</t>
  </si>
  <si>
    <t xml:space="preserve">STU1075</t>
  </si>
  <si>
    <t xml:space="preserve">Varun Khan</t>
  </si>
  <si>
    <t xml:space="preserve">STU1076</t>
  </si>
  <si>
    <t xml:space="preserve">Swati Khan</t>
  </si>
  <si>
    <t xml:space="preserve">STU1077</t>
  </si>
  <si>
    <t xml:space="preserve">Vikram Kapoor</t>
  </si>
  <si>
    <t xml:space="preserve">STU1078</t>
  </si>
  <si>
    <t xml:space="preserve">Kritika Bose</t>
  </si>
  <si>
    <t xml:space="preserve">STU1079</t>
  </si>
  <si>
    <t xml:space="preserve">Vivaan Desai</t>
  </si>
  <si>
    <t xml:space="preserve">STU1080</t>
  </si>
  <si>
    <t xml:space="preserve">Sana Patel</t>
  </si>
  <si>
    <t xml:space="preserve">STU1081</t>
  </si>
  <si>
    <t xml:space="preserve">Namrata Rao</t>
  </si>
  <si>
    <t xml:space="preserve">STU1082</t>
  </si>
  <si>
    <t xml:space="preserve">Ishita Singh</t>
  </si>
  <si>
    <t xml:space="preserve">STU1083</t>
  </si>
  <si>
    <t xml:space="preserve">Karan Gupta</t>
  </si>
  <si>
    <t xml:space="preserve">STU1084</t>
  </si>
  <si>
    <t xml:space="preserve">Riya Pillai</t>
  </si>
  <si>
    <t xml:space="preserve">STU1085</t>
  </si>
  <si>
    <t xml:space="preserve">Diya Rao</t>
  </si>
  <si>
    <t xml:space="preserve">STU1086</t>
  </si>
  <si>
    <t xml:space="preserve">Varun Kulkarni</t>
  </si>
  <si>
    <t xml:space="preserve">STU1087</t>
  </si>
  <si>
    <t xml:space="preserve">Siddharth Bhat</t>
  </si>
  <si>
    <t xml:space="preserve">STU1088</t>
  </si>
  <si>
    <t xml:space="preserve">Gautam Gupta</t>
  </si>
  <si>
    <t xml:space="preserve">STU1089</t>
  </si>
  <si>
    <t xml:space="preserve">Aryan Khan</t>
  </si>
  <si>
    <t xml:space="preserve">STU1090</t>
  </si>
  <si>
    <t xml:space="preserve">Rohan Verma</t>
  </si>
  <si>
    <t xml:space="preserve">STU1091</t>
  </si>
  <si>
    <t xml:space="preserve">Aarav Kulkarni</t>
  </si>
  <si>
    <t xml:space="preserve">STU1092</t>
  </si>
  <si>
    <t xml:space="preserve">Manav Khan</t>
  </si>
  <si>
    <t xml:space="preserve">STU1093</t>
  </si>
  <si>
    <t xml:space="preserve">Suresh Mehta</t>
  </si>
  <si>
    <t xml:space="preserve">STU1094</t>
  </si>
  <si>
    <t xml:space="preserve">Sai Desai</t>
  </si>
  <si>
    <t xml:space="preserve">STU1095</t>
  </si>
  <si>
    <t xml:space="preserve">Pallavi Verma</t>
  </si>
  <si>
    <t xml:space="preserve">STU1096</t>
  </si>
  <si>
    <t xml:space="preserve">Ishita Gupta</t>
  </si>
  <si>
    <t xml:space="preserve">STU1097</t>
  </si>
  <si>
    <t xml:space="preserve">Aryan Verma</t>
  </si>
  <si>
    <t xml:space="preserve">STU1098</t>
  </si>
  <si>
    <t xml:space="preserve">Yash Kulkarni</t>
  </si>
  <si>
    <t xml:space="preserve">STU1099</t>
  </si>
  <si>
    <t xml:space="preserve">Dev Mehta</t>
  </si>
  <si>
    <t xml:space="preserve">STU1100</t>
  </si>
  <si>
    <t xml:space="preserve">Siddharth Kapoor</t>
  </si>
  <si>
    <t xml:space="preserve">STU1101</t>
  </si>
  <si>
    <t xml:space="preserve">Karan Bose</t>
  </si>
  <si>
    <t xml:space="preserve">STU1102</t>
  </si>
  <si>
    <t xml:space="preserve">Priya Singh</t>
  </si>
  <si>
    <t xml:space="preserve">STU1103</t>
  </si>
  <si>
    <t xml:space="preserve">Kavya Kulkarni</t>
  </si>
  <si>
    <t xml:space="preserve">STU1104</t>
  </si>
  <si>
    <t xml:space="preserve">Dev Joshi</t>
  </si>
  <si>
    <t xml:space="preserve">STU1105</t>
  </si>
  <si>
    <t xml:space="preserve">Sana Iyer</t>
  </si>
  <si>
    <t xml:space="preserve">STU1106</t>
  </si>
  <si>
    <t xml:space="preserve">Aarav Pillai</t>
  </si>
  <si>
    <t xml:space="preserve">STU1107</t>
  </si>
  <si>
    <t xml:space="preserve">Gautam Verma</t>
  </si>
  <si>
    <t xml:space="preserve">STU1108</t>
  </si>
  <si>
    <t xml:space="preserve">Priya Bose</t>
  </si>
  <si>
    <t xml:space="preserve">STU1109</t>
  </si>
  <si>
    <t xml:space="preserve">Meera Bhat</t>
  </si>
  <si>
    <t xml:space="preserve">STU1110</t>
  </si>
  <si>
    <t xml:space="preserve">Aditya Rao</t>
  </si>
  <si>
    <t xml:space="preserve">STU1111</t>
  </si>
  <si>
    <t xml:space="preserve">Arjun Iyer</t>
  </si>
  <si>
    <t xml:space="preserve">STU1112</t>
  </si>
  <si>
    <t xml:space="preserve">Aarav Mehta</t>
  </si>
  <si>
    <t xml:space="preserve">STU1113</t>
  </si>
  <si>
    <t xml:space="preserve">Manav Chopra</t>
  </si>
  <si>
    <t xml:space="preserve">STU1114</t>
  </si>
  <si>
    <t xml:space="preserve">Siddharth Nair</t>
  </si>
  <si>
    <t xml:space="preserve">STU1115</t>
  </si>
  <si>
    <t xml:space="preserve">Varun Patel</t>
  </si>
  <si>
    <t xml:space="preserve">STU1116</t>
  </si>
  <si>
    <t xml:space="preserve">Rohit Khan</t>
  </si>
  <si>
    <t xml:space="preserve">STU1117</t>
  </si>
  <si>
    <t xml:space="preserve">Vivaan Rao</t>
  </si>
  <si>
    <t xml:space="preserve">STU1118</t>
  </si>
  <si>
    <t xml:space="preserve">Nikhil Kapoor</t>
  </si>
  <si>
    <t xml:space="preserve">STU1119</t>
  </si>
  <si>
    <t xml:space="preserve">Sai Iyer</t>
  </si>
  <si>
    <t xml:space="preserve">STU1120</t>
  </si>
  <si>
    <t xml:space="preserve">Pooja Sharma</t>
  </si>
  <si>
    <t xml:space="preserve">STUDENT LOOKUP TOOL</t>
  </si>
  <si>
    <t xml:space="preserve">Enter Student ID:</t>
  </si>
  <si>
    <t xml:space="preserve">Test 1</t>
  </si>
  <si>
    <t xml:space="preserve">Test 2</t>
  </si>
  <si>
    <t xml:space="preserve">Test 3</t>
  </si>
  <si>
    <t xml:space="preserve">Final Exam</t>
  </si>
  <si>
    <t xml:space="preserve">CLASS-WISE SUMMARY</t>
  </si>
  <si>
    <t xml:space="preserve">Students</t>
  </si>
  <si>
    <t xml:space="preserve">Avg Attendance%</t>
  </si>
  <si>
    <t xml:space="preserve">Avg Score</t>
  </si>
  <si>
    <t xml:space="preserve">At Risk Count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</si>
</sst>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7" min="5" style="0" width="8"/>
    <col collapsed="false" customWidth="true" hidden="false" outlineLevel="0" max="8" min="8" style="0" width="11"/>
    <col collapsed="false" customWidth="true" hidden="false" outlineLevel="0" max="10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3" t="n">
        <v>90.8</v>
      </c>
      <c r="E2" s="3" t="n">
        <v>81</v>
      </c>
      <c r="F2" s="3" t="n">
        <v>87</v>
      </c>
      <c r="G2" s="3" t="n">
        <v>97</v>
      </c>
      <c r="H2" s="3" t="n">
        <v>93</v>
      </c>
      <c r="I2" s="3" t="n">
        <f aca="false">AVERAGE(E2:H2)</f>
        <v>89.5</v>
      </c>
      <c r="J2" s="2" t="str">
        <f aca="false">IF(OR(I2&lt;60,D2&lt;75),"At Risk",IF(I2&lt;70,"Watch","OK"))</f>
        <v>OK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3" t="n">
        <v>83.2</v>
      </c>
      <c r="E3" s="3" t="n">
        <v>81</v>
      </c>
      <c r="F3" s="3" t="n">
        <v>75</v>
      </c>
      <c r="G3" s="3" t="n">
        <v>70</v>
      </c>
      <c r="H3" s="3" t="n">
        <v>73</v>
      </c>
      <c r="I3" s="3" t="n">
        <f aca="false">AVERAGE(E3:H3)</f>
        <v>74.75</v>
      </c>
      <c r="J3" s="2" t="str">
        <f aca="false">IF(OR(I3&lt;60,D3&lt;75),"At Risk",IF(I3&lt;70,"Watch","OK"))</f>
        <v>OK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D4" s="3" t="n">
        <v>76.8</v>
      </c>
      <c r="E4" s="3" t="n">
        <v>48</v>
      </c>
      <c r="F4" s="3" t="n">
        <v>55</v>
      </c>
      <c r="G4" s="3" t="n">
        <v>89</v>
      </c>
      <c r="H4" s="3" t="n">
        <v>68</v>
      </c>
      <c r="I4" s="3" t="n">
        <f aca="false">AVERAGE(E4:H4)</f>
        <v>65</v>
      </c>
      <c r="J4" s="2" t="str">
        <f aca="false">IF(OR(I4&lt;60,D4&lt;75),"At Risk",IF(I4&lt;70,"Watch","OK"))</f>
        <v>Watch</v>
      </c>
    </row>
    <row r="5" customFormat="false" ht="15" hidden="false" customHeight="false" outlineLevel="0" collapsed="false">
      <c r="A5" s="2" t="s">
        <v>19</v>
      </c>
      <c r="B5" s="2" t="s">
        <v>20</v>
      </c>
      <c r="C5" s="2" t="s">
        <v>21</v>
      </c>
      <c r="D5" s="3" t="n">
        <v>78.9</v>
      </c>
      <c r="E5" s="3" t="n">
        <v>73</v>
      </c>
      <c r="F5" s="3" t="n">
        <v>89</v>
      </c>
      <c r="G5" s="3" t="n">
        <v>78</v>
      </c>
      <c r="H5" s="3" t="n">
        <v>76</v>
      </c>
      <c r="I5" s="3" t="n">
        <f aca="false">AVERAGE(E5:H5)</f>
        <v>79</v>
      </c>
      <c r="J5" s="2" t="str">
        <f aca="false">IF(OR(I5&lt;60,D5&lt;75),"At Risk",IF(I5&lt;70,"Watch","OK"))</f>
        <v>OK</v>
      </c>
    </row>
    <row r="6" customFormat="false" ht="15" hidden="false" customHeight="false" outlineLevel="0" collapsed="false">
      <c r="A6" s="2" t="s">
        <v>22</v>
      </c>
      <c r="B6" s="2" t="s">
        <v>23</v>
      </c>
      <c r="C6" s="2" t="s">
        <v>15</v>
      </c>
      <c r="D6" s="3" t="n">
        <v>78.4</v>
      </c>
      <c r="E6" s="3" t="n">
        <v>81</v>
      </c>
      <c r="F6" s="3" t="n">
        <v>72</v>
      </c>
      <c r="G6" s="3" t="n">
        <v>88</v>
      </c>
      <c r="H6" s="3" t="n">
        <v>88</v>
      </c>
      <c r="I6" s="3" t="n">
        <f aca="false">AVERAGE(E6:H6)</f>
        <v>82.25</v>
      </c>
      <c r="J6" s="2" t="str">
        <f aca="false">IF(OR(I6&lt;60,D6&lt;75),"At Risk",IF(I6&lt;70,"Watch","OK"))</f>
        <v>OK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21</v>
      </c>
      <c r="D7" s="3" t="n">
        <v>92.6</v>
      </c>
      <c r="E7" s="3" t="n">
        <v>65</v>
      </c>
      <c r="F7" s="3" t="n">
        <v>66</v>
      </c>
      <c r="G7" s="3" t="n">
        <v>66</v>
      </c>
      <c r="H7" s="3" t="n">
        <v>74</v>
      </c>
      <c r="I7" s="3" t="n">
        <f aca="false">AVERAGE(E7:H7)</f>
        <v>67.75</v>
      </c>
      <c r="J7" s="2" t="str">
        <f aca="false">IF(OR(I7&lt;60,D7&lt;75),"At Risk",IF(I7&lt;70,"Watch","OK"))</f>
        <v>Watch</v>
      </c>
    </row>
    <row r="8" customFormat="false" ht="15" hidden="false" customHeight="false" outlineLevel="0" collapsed="false">
      <c r="A8" s="2" t="s">
        <v>26</v>
      </c>
      <c r="B8" s="2" t="s">
        <v>27</v>
      </c>
      <c r="C8" s="2" t="s">
        <v>21</v>
      </c>
      <c r="D8" s="3" t="n">
        <v>97.8</v>
      </c>
      <c r="E8" s="3" t="n">
        <v>100</v>
      </c>
      <c r="F8" s="3" t="n">
        <v>69</v>
      </c>
      <c r="G8" s="3" t="n">
        <v>78</v>
      </c>
      <c r="H8" s="3" t="n">
        <v>97</v>
      </c>
      <c r="I8" s="3" t="n">
        <f aca="false">AVERAGE(E8:H8)</f>
        <v>86</v>
      </c>
      <c r="J8" s="2" t="str">
        <f aca="false">IF(OR(I8&lt;60,D8&lt;75),"At Risk",IF(I8&lt;70,"Watch","OK"))</f>
        <v>OK</v>
      </c>
    </row>
    <row r="9" customFormat="false" ht="15" hidden="false" customHeight="false" outlineLevel="0" collapsed="false">
      <c r="A9" s="2" t="s">
        <v>28</v>
      </c>
      <c r="B9" s="2" t="s">
        <v>29</v>
      </c>
      <c r="C9" s="2" t="s">
        <v>21</v>
      </c>
      <c r="D9" s="3" t="n">
        <v>81.3</v>
      </c>
      <c r="E9" s="3" t="n">
        <v>62</v>
      </c>
      <c r="F9" s="3" t="n">
        <v>55</v>
      </c>
      <c r="G9" s="3" t="n">
        <v>69</v>
      </c>
      <c r="H9" s="3" t="n">
        <v>67</v>
      </c>
      <c r="I9" s="3" t="n">
        <f aca="false">AVERAGE(E9:H9)</f>
        <v>63.25</v>
      </c>
      <c r="J9" s="2" t="str">
        <f aca="false">IF(OR(I9&lt;60,D9&lt;75),"At Risk",IF(I9&lt;70,"Watch","OK"))</f>
        <v>Watch</v>
      </c>
    </row>
    <row r="10" customFormat="false" ht="15" hidden="false" customHeight="false" outlineLevel="0" collapsed="false">
      <c r="A10" s="2" t="s">
        <v>30</v>
      </c>
      <c r="B10" s="2" t="s">
        <v>31</v>
      </c>
      <c r="C10" s="2" t="s">
        <v>15</v>
      </c>
      <c r="D10" s="3" t="n">
        <v>90.5</v>
      </c>
      <c r="E10" s="3" t="n">
        <v>87</v>
      </c>
      <c r="F10" s="3" t="n">
        <v>91</v>
      </c>
      <c r="G10" s="3" t="n">
        <v>98</v>
      </c>
      <c r="H10" s="3" t="n">
        <v>79</v>
      </c>
      <c r="I10" s="3" t="n">
        <f aca="false">AVERAGE(E10:H10)</f>
        <v>88.75</v>
      </c>
      <c r="J10" s="2" t="str">
        <f aca="false">IF(OR(I10&lt;60,D10&lt;75),"At Risk",IF(I10&lt;70,"Watch","OK"))</f>
        <v>OK</v>
      </c>
    </row>
    <row r="11" customFormat="false" ht="15" hidden="false" customHeight="false" outlineLevel="0" collapsed="false">
      <c r="A11" s="2" t="s">
        <v>32</v>
      </c>
      <c r="B11" s="2" t="s">
        <v>33</v>
      </c>
      <c r="C11" s="2" t="s">
        <v>21</v>
      </c>
      <c r="D11" s="3" t="n">
        <v>92.9</v>
      </c>
      <c r="E11" s="3" t="n">
        <v>84</v>
      </c>
      <c r="F11" s="3" t="n">
        <v>74</v>
      </c>
      <c r="G11" s="3" t="n">
        <v>93</v>
      </c>
      <c r="H11" s="3" t="n">
        <v>85</v>
      </c>
      <c r="I11" s="3" t="n">
        <f aca="false">AVERAGE(E11:H11)</f>
        <v>84</v>
      </c>
      <c r="J11" s="2" t="str">
        <f aca="false">IF(OR(I11&lt;60,D11&lt;75),"At Risk",IF(I11&lt;70,"Watch","OK"))</f>
        <v>OK</v>
      </c>
    </row>
    <row r="12" customFormat="false" ht="15" hidden="false" customHeight="false" outlineLevel="0" collapsed="false">
      <c r="A12" s="2" t="s">
        <v>34</v>
      </c>
      <c r="B12" s="2" t="s">
        <v>35</v>
      </c>
      <c r="C12" s="2" t="s">
        <v>36</v>
      </c>
      <c r="D12" s="3" t="n">
        <v>94.7</v>
      </c>
      <c r="E12" s="3" t="n">
        <v>67</v>
      </c>
      <c r="F12" s="3" t="n">
        <v>77</v>
      </c>
      <c r="G12" s="3" t="n">
        <v>88</v>
      </c>
      <c r="H12" s="3" t="n">
        <v>98</v>
      </c>
      <c r="I12" s="3" t="n">
        <f aca="false">AVERAGE(E12:H12)</f>
        <v>82.5</v>
      </c>
      <c r="J12" s="2" t="str">
        <f aca="false">IF(OR(I12&lt;60,D12&lt;75),"At Risk",IF(I12&lt;70,"Watch","OK"))</f>
        <v>OK</v>
      </c>
    </row>
    <row r="13" customFormat="false" ht="15" hidden="false" customHeight="false" outlineLevel="0" collapsed="false">
      <c r="A13" s="2" t="s">
        <v>37</v>
      </c>
      <c r="B13" s="2" t="s">
        <v>38</v>
      </c>
      <c r="C13" s="2" t="s">
        <v>36</v>
      </c>
      <c r="D13" s="3" t="n">
        <v>78.4</v>
      </c>
      <c r="E13" s="3" t="n">
        <v>69</v>
      </c>
      <c r="F13" s="3" t="n">
        <v>84</v>
      </c>
      <c r="G13" s="3" t="n">
        <v>67</v>
      </c>
      <c r="H13" s="3" t="n">
        <v>84</v>
      </c>
      <c r="I13" s="3" t="n">
        <f aca="false">AVERAGE(E13:H13)</f>
        <v>76</v>
      </c>
      <c r="J13" s="2" t="str">
        <f aca="false">IF(OR(I13&lt;60,D13&lt;75),"At Risk",IF(I13&lt;70,"Watch","OK"))</f>
        <v>OK</v>
      </c>
    </row>
    <row r="14" customFormat="false" ht="15" hidden="false" customHeight="false" outlineLevel="0" collapsed="false">
      <c r="A14" s="2" t="s">
        <v>39</v>
      </c>
      <c r="B14" s="2" t="s">
        <v>40</v>
      </c>
      <c r="C14" s="2" t="s">
        <v>21</v>
      </c>
      <c r="D14" s="3" t="n">
        <v>76.8</v>
      </c>
      <c r="E14" s="3" t="n">
        <v>81</v>
      </c>
      <c r="F14" s="3" t="n">
        <v>67</v>
      </c>
      <c r="G14" s="3" t="n">
        <v>70</v>
      </c>
      <c r="H14" s="3" t="n">
        <v>69</v>
      </c>
      <c r="I14" s="3" t="n">
        <f aca="false">AVERAGE(E14:H14)</f>
        <v>71.75</v>
      </c>
      <c r="J14" s="2" t="str">
        <f aca="false">IF(OR(I14&lt;60,D14&lt;75),"At Risk",IF(I14&lt;70,"Watch","OK"))</f>
        <v>OK</v>
      </c>
    </row>
    <row r="15" customFormat="false" ht="15" hidden="false" customHeight="false" outlineLevel="0" collapsed="false">
      <c r="A15" s="2" t="s">
        <v>41</v>
      </c>
      <c r="B15" s="2" t="s">
        <v>42</v>
      </c>
      <c r="C15" s="2" t="s">
        <v>36</v>
      </c>
      <c r="D15" s="3" t="n">
        <v>91.8</v>
      </c>
      <c r="E15" s="3" t="n">
        <v>78</v>
      </c>
      <c r="F15" s="3" t="n">
        <v>84</v>
      </c>
      <c r="G15" s="3" t="n">
        <v>52</v>
      </c>
      <c r="H15" s="3" t="n">
        <v>100</v>
      </c>
      <c r="I15" s="3" t="n">
        <f aca="false">AVERAGE(E15:H15)</f>
        <v>78.5</v>
      </c>
      <c r="J15" s="2" t="str">
        <f aca="false">IF(OR(I15&lt;60,D15&lt;75),"At Risk",IF(I15&lt;70,"Watch","OK"))</f>
        <v>OK</v>
      </c>
    </row>
    <row r="16" customFormat="false" ht="15" hidden="false" customHeight="false" outlineLevel="0" collapsed="false">
      <c r="A16" s="2" t="s">
        <v>43</v>
      </c>
      <c r="B16" s="2" t="s">
        <v>44</v>
      </c>
      <c r="C16" s="2" t="s">
        <v>15</v>
      </c>
      <c r="D16" s="3" t="n">
        <v>93.3</v>
      </c>
      <c r="E16" s="3" t="n">
        <v>100</v>
      </c>
      <c r="F16" s="3" t="n">
        <v>85</v>
      </c>
      <c r="G16" s="3" t="n">
        <v>77</v>
      </c>
      <c r="H16" s="3" t="n">
        <v>70</v>
      </c>
      <c r="I16" s="3" t="n">
        <f aca="false">AVERAGE(E16:H16)</f>
        <v>83</v>
      </c>
      <c r="J16" s="2" t="str">
        <f aca="false">IF(OR(I16&lt;60,D16&lt;75),"At Risk",IF(I16&lt;70,"Watch","OK"))</f>
        <v>OK</v>
      </c>
    </row>
    <row r="17" customFormat="false" ht="15" hidden="false" customHeight="false" outlineLevel="0" collapsed="false">
      <c r="A17" s="2" t="s">
        <v>45</v>
      </c>
      <c r="B17" s="2" t="s">
        <v>46</v>
      </c>
      <c r="C17" s="2" t="s">
        <v>12</v>
      </c>
      <c r="D17" s="3" t="n">
        <v>79.4</v>
      </c>
      <c r="E17" s="3" t="n">
        <v>70</v>
      </c>
      <c r="F17" s="3" t="n">
        <v>70</v>
      </c>
      <c r="G17" s="3" t="n">
        <v>66</v>
      </c>
      <c r="H17" s="3" t="n">
        <v>51</v>
      </c>
      <c r="I17" s="3" t="n">
        <f aca="false">AVERAGE(E17:H17)</f>
        <v>64.25</v>
      </c>
      <c r="J17" s="2" t="str">
        <f aca="false">IF(OR(I17&lt;60,D17&lt;75),"At Risk",IF(I17&lt;70,"Watch","OK"))</f>
        <v>Watch</v>
      </c>
    </row>
    <row r="18" customFormat="false" ht="15" hidden="false" customHeight="false" outlineLevel="0" collapsed="false">
      <c r="A18" s="2" t="s">
        <v>47</v>
      </c>
      <c r="B18" s="2" t="s">
        <v>48</v>
      </c>
      <c r="C18" s="2" t="s">
        <v>15</v>
      </c>
      <c r="D18" s="3" t="n">
        <v>94.7</v>
      </c>
      <c r="E18" s="3" t="n">
        <v>92</v>
      </c>
      <c r="F18" s="3" t="n">
        <v>77</v>
      </c>
      <c r="G18" s="3" t="n">
        <v>74</v>
      </c>
      <c r="H18" s="3" t="n">
        <v>72</v>
      </c>
      <c r="I18" s="3" t="n">
        <f aca="false">AVERAGE(E18:H18)</f>
        <v>78.75</v>
      </c>
      <c r="J18" s="2" t="str">
        <f aca="false">IF(OR(I18&lt;60,D18&lt;75),"At Risk",IF(I18&lt;70,"Watch","OK"))</f>
        <v>OK</v>
      </c>
    </row>
    <row r="19" customFormat="false" ht="15" hidden="false" customHeight="false" outlineLevel="0" collapsed="false">
      <c r="A19" s="2" t="s">
        <v>49</v>
      </c>
      <c r="B19" s="2" t="s">
        <v>50</v>
      </c>
      <c r="C19" s="2" t="s">
        <v>36</v>
      </c>
      <c r="D19" s="3" t="n">
        <v>86.3</v>
      </c>
      <c r="E19" s="3" t="n">
        <v>79</v>
      </c>
      <c r="F19" s="3" t="n">
        <v>62</v>
      </c>
      <c r="G19" s="3" t="n">
        <v>87</v>
      </c>
      <c r="H19" s="3" t="n">
        <v>76</v>
      </c>
      <c r="I19" s="3" t="n">
        <f aca="false">AVERAGE(E19:H19)</f>
        <v>76</v>
      </c>
      <c r="J19" s="2" t="str">
        <f aca="false">IF(OR(I19&lt;60,D19&lt;75),"At Risk",IF(I19&lt;70,"Watch","OK"))</f>
        <v>OK</v>
      </c>
    </row>
    <row r="20" customFormat="false" ht="15" hidden="false" customHeight="false" outlineLevel="0" collapsed="false">
      <c r="A20" s="2" t="s">
        <v>51</v>
      </c>
      <c r="B20" s="2" t="s">
        <v>52</v>
      </c>
      <c r="C20" s="2" t="s">
        <v>21</v>
      </c>
      <c r="D20" s="3" t="n">
        <v>93.8</v>
      </c>
      <c r="E20" s="3" t="n">
        <v>89</v>
      </c>
      <c r="F20" s="3" t="n">
        <v>75</v>
      </c>
      <c r="G20" s="3" t="n">
        <v>100</v>
      </c>
      <c r="H20" s="3" t="n">
        <v>93</v>
      </c>
      <c r="I20" s="3" t="n">
        <f aca="false">AVERAGE(E20:H20)</f>
        <v>89.25</v>
      </c>
      <c r="J20" s="2" t="str">
        <f aca="false">IF(OR(I20&lt;60,D20&lt;75),"At Risk",IF(I20&lt;70,"Watch","OK"))</f>
        <v>OK</v>
      </c>
    </row>
    <row r="21" customFormat="false" ht="15" hidden="false" customHeight="false" outlineLevel="0" collapsed="false">
      <c r="A21" s="2" t="s">
        <v>53</v>
      </c>
      <c r="B21" s="2" t="s">
        <v>54</v>
      </c>
      <c r="C21" s="2" t="s">
        <v>18</v>
      </c>
      <c r="D21" s="3" t="n">
        <v>92.3</v>
      </c>
      <c r="E21" s="3" t="n">
        <v>97</v>
      </c>
      <c r="F21" s="3" t="n">
        <v>80</v>
      </c>
      <c r="G21" s="3" t="n">
        <v>95</v>
      </c>
      <c r="H21" s="3" t="n">
        <v>95</v>
      </c>
      <c r="I21" s="3" t="n">
        <f aca="false">AVERAGE(E21:H21)</f>
        <v>91.75</v>
      </c>
      <c r="J21" s="2" t="str">
        <f aca="false">IF(OR(I21&lt;60,D21&lt;75),"At Risk",IF(I21&lt;70,"Watch","OK"))</f>
        <v>OK</v>
      </c>
    </row>
    <row r="22" customFormat="false" ht="15" hidden="false" customHeight="false" outlineLevel="0" collapsed="false">
      <c r="A22" s="2" t="s">
        <v>55</v>
      </c>
      <c r="B22" s="2" t="s">
        <v>56</v>
      </c>
      <c r="C22" s="2" t="s">
        <v>21</v>
      </c>
      <c r="D22" s="3" t="n">
        <v>86</v>
      </c>
      <c r="E22" s="3" t="n">
        <v>52</v>
      </c>
      <c r="F22" s="3" t="n">
        <v>57</v>
      </c>
      <c r="G22" s="3" t="n">
        <v>94</v>
      </c>
      <c r="H22" s="3" t="n">
        <v>67</v>
      </c>
      <c r="I22" s="3" t="n">
        <f aca="false">AVERAGE(E22:H22)</f>
        <v>67.5</v>
      </c>
      <c r="J22" s="2" t="str">
        <f aca="false">IF(OR(I22&lt;60,D22&lt;75),"At Risk",IF(I22&lt;70,"Watch","OK"))</f>
        <v>Watch</v>
      </c>
    </row>
    <row r="23" customFormat="false" ht="15" hidden="false" customHeight="false" outlineLevel="0" collapsed="false">
      <c r="A23" s="2" t="s">
        <v>57</v>
      </c>
      <c r="B23" s="2" t="s">
        <v>58</v>
      </c>
      <c r="C23" s="2" t="s">
        <v>21</v>
      </c>
      <c r="D23" s="3" t="n">
        <v>82.6</v>
      </c>
      <c r="E23" s="3" t="n">
        <v>67</v>
      </c>
      <c r="F23" s="3" t="n">
        <v>62</v>
      </c>
      <c r="G23" s="3" t="n">
        <v>83</v>
      </c>
      <c r="H23" s="3" t="n">
        <v>65</v>
      </c>
      <c r="I23" s="3" t="n">
        <f aca="false">AVERAGE(E23:H23)</f>
        <v>69.25</v>
      </c>
      <c r="J23" s="2" t="str">
        <f aca="false">IF(OR(I23&lt;60,D23&lt;75),"At Risk",IF(I23&lt;70,"Watch","OK"))</f>
        <v>Watch</v>
      </c>
    </row>
    <row r="24" customFormat="false" ht="15" hidden="false" customHeight="false" outlineLevel="0" collapsed="false">
      <c r="A24" s="2" t="s">
        <v>59</v>
      </c>
      <c r="B24" s="2" t="s">
        <v>60</v>
      </c>
      <c r="C24" s="2" t="s">
        <v>12</v>
      </c>
      <c r="D24" s="3" t="n">
        <v>80.8</v>
      </c>
      <c r="E24" s="3" t="n">
        <v>63</v>
      </c>
      <c r="F24" s="3" t="n">
        <v>66</v>
      </c>
      <c r="G24" s="3" t="n">
        <v>72</v>
      </c>
      <c r="H24" s="3" t="n">
        <v>75</v>
      </c>
      <c r="I24" s="3" t="n">
        <f aca="false">AVERAGE(E24:H24)</f>
        <v>69</v>
      </c>
      <c r="J24" s="2" t="str">
        <f aca="false">IF(OR(I24&lt;60,D24&lt;75),"At Risk",IF(I24&lt;70,"Watch","OK"))</f>
        <v>Watch</v>
      </c>
    </row>
    <row r="25" customFormat="false" ht="15" hidden="false" customHeight="false" outlineLevel="0" collapsed="false">
      <c r="A25" s="2" t="s">
        <v>61</v>
      </c>
      <c r="B25" s="2" t="s">
        <v>62</v>
      </c>
      <c r="C25" s="2" t="s">
        <v>36</v>
      </c>
      <c r="D25" s="3" t="n">
        <v>69.3</v>
      </c>
      <c r="E25" s="3" t="n">
        <v>70</v>
      </c>
      <c r="F25" s="3" t="n">
        <v>61</v>
      </c>
      <c r="G25" s="3" t="n">
        <v>50</v>
      </c>
      <c r="H25" s="3" t="n">
        <v>58</v>
      </c>
      <c r="I25" s="3" t="n">
        <f aca="false">AVERAGE(E25:H25)</f>
        <v>59.75</v>
      </c>
      <c r="J25" s="2" t="str">
        <f aca="false">IF(OR(I25&lt;60,D25&lt;75),"At Risk",IF(I25&lt;70,"Watch","OK"))</f>
        <v>At Risk</v>
      </c>
    </row>
    <row r="26" customFormat="false" ht="15" hidden="false" customHeight="false" outlineLevel="0" collapsed="false">
      <c r="A26" s="2" t="s">
        <v>63</v>
      </c>
      <c r="B26" s="2" t="s">
        <v>64</v>
      </c>
      <c r="C26" s="2" t="s">
        <v>15</v>
      </c>
      <c r="D26" s="3" t="n">
        <v>73</v>
      </c>
      <c r="E26" s="3" t="n">
        <v>77</v>
      </c>
      <c r="F26" s="3" t="n">
        <v>57</v>
      </c>
      <c r="G26" s="3" t="n">
        <v>42</v>
      </c>
      <c r="H26" s="3" t="n">
        <v>67</v>
      </c>
      <c r="I26" s="3" t="n">
        <f aca="false">AVERAGE(E26:H26)</f>
        <v>60.75</v>
      </c>
      <c r="J26" s="2" t="str">
        <f aca="false">IF(OR(I26&lt;60,D26&lt;75),"At Risk",IF(I26&lt;70,"Watch","OK"))</f>
        <v>At Risk</v>
      </c>
    </row>
    <row r="27" customFormat="false" ht="15" hidden="false" customHeight="false" outlineLevel="0" collapsed="false">
      <c r="A27" s="2" t="s">
        <v>65</v>
      </c>
      <c r="B27" s="2" t="s">
        <v>66</v>
      </c>
      <c r="C27" s="2" t="s">
        <v>12</v>
      </c>
      <c r="D27" s="3" t="n">
        <v>71.1</v>
      </c>
      <c r="E27" s="3" t="n">
        <v>50</v>
      </c>
      <c r="F27" s="3" t="n">
        <v>66</v>
      </c>
      <c r="G27" s="3" t="n">
        <v>42</v>
      </c>
      <c r="H27" s="3" t="n">
        <v>65</v>
      </c>
      <c r="I27" s="3" t="n">
        <f aca="false">AVERAGE(E27:H27)</f>
        <v>55.75</v>
      </c>
      <c r="J27" s="2" t="str">
        <f aca="false">IF(OR(I27&lt;60,D27&lt;75),"At Risk",IF(I27&lt;70,"Watch","OK"))</f>
        <v>At Risk</v>
      </c>
    </row>
    <row r="28" customFormat="false" ht="15" hidden="false" customHeight="false" outlineLevel="0" collapsed="false">
      <c r="A28" s="2" t="s">
        <v>67</v>
      </c>
      <c r="B28" s="2" t="s">
        <v>68</v>
      </c>
      <c r="C28" s="2" t="s">
        <v>12</v>
      </c>
      <c r="D28" s="3" t="n">
        <v>82.7</v>
      </c>
      <c r="E28" s="3" t="n">
        <v>60</v>
      </c>
      <c r="F28" s="3" t="n">
        <v>93</v>
      </c>
      <c r="G28" s="3" t="n">
        <v>73</v>
      </c>
      <c r="H28" s="3" t="n">
        <v>80</v>
      </c>
      <c r="I28" s="3" t="n">
        <f aca="false">AVERAGE(E28:H28)</f>
        <v>76.5</v>
      </c>
      <c r="J28" s="2" t="str">
        <f aca="false">IF(OR(I28&lt;60,D28&lt;75),"At Risk",IF(I28&lt;70,"Watch","OK"))</f>
        <v>OK</v>
      </c>
    </row>
    <row r="29" customFormat="false" ht="15" hidden="false" customHeight="false" outlineLevel="0" collapsed="false">
      <c r="A29" s="2" t="s">
        <v>69</v>
      </c>
      <c r="B29" s="2" t="s">
        <v>70</v>
      </c>
      <c r="C29" s="2" t="s">
        <v>18</v>
      </c>
      <c r="D29" s="3" t="n">
        <v>75.3</v>
      </c>
      <c r="E29" s="3" t="n">
        <v>42</v>
      </c>
      <c r="F29" s="3" t="n">
        <v>71</v>
      </c>
      <c r="G29" s="3" t="n">
        <v>85</v>
      </c>
      <c r="H29" s="3" t="n">
        <v>75</v>
      </c>
      <c r="I29" s="3" t="n">
        <f aca="false">AVERAGE(E29:H29)</f>
        <v>68.25</v>
      </c>
      <c r="J29" s="2" t="str">
        <f aca="false">IF(OR(I29&lt;60,D29&lt;75),"At Risk",IF(I29&lt;70,"Watch","OK"))</f>
        <v>Watch</v>
      </c>
    </row>
    <row r="30" customFormat="false" ht="15" hidden="false" customHeight="false" outlineLevel="0" collapsed="false">
      <c r="A30" s="2" t="s">
        <v>71</v>
      </c>
      <c r="B30" s="2" t="s">
        <v>72</v>
      </c>
      <c r="C30" s="2" t="s">
        <v>12</v>
      </c>
      <c r="D30" s="3" t="n">
        <v>88.9</v>
      </c>
      <c r="E30" s="3" t="n">
        <v>77</v>
      </c>
      <c r="F30" s="3" t="n">
        <v>78</v>
      </c>
      <c r="G30" s="3" t="n">
        <v>96</v>
      </c>
      <c r="H30" s="3" t="n">
        <v>90</v>
      </c>
      <c r="I30" s="3" t="n">
        <f aca="false">AVERAGE(E30:H30)</f>
        <v>85.25</v>
      </c>
      <c r="J30" s="2" t="str">
        <f aca="false">IF(OR(I30&lt;60,D30&lt;75),"At Risk",IF(I30&lt;70,"Watch","OK"))</f>
        <v>OK</v>
      </c>
    </row>
    <row r="31" customFormat="false" ht="15" hidden="false" customHeight="false" outlineLevel="0" collapsed="false">
      <c r="A31" s="2" t="s">
        <v>73</v>
      </c>
      <c r="B31" s="2" t="s">
        <v>74</v>
      </c>
      <c r="C31" s="2" t="s">
        <v>18</v>
      </c>
      <c r="D31" s="3" t="n">
        <v>84.9</v>
      </c>
      <c r="E31" s="3" t="n">
        <v>78</v>
      </c>
      <c r="F31" s="3" t="n">
        <v>87</v>
      </c>
      <c r="G31" s="3" t="n">
        <v>86</v>
      </c>
      <c r="H31" s="3" t="n">
        <v>79</v>
      </c>
      <c r="I31" s="3" t="n">
        <f aca="false">AVERAGE(E31:H31)</f>
        <v>82.5</v>
      </c>
      <c r="J31" s="2" t="str">
        <f aca="false">IF(OR(I31&lt;60,D31&lt;75),"At Risk",IF(I31&lt;70,"Watch","OK"))</f>
        <v>OK</v>
      </c>
    </row>
    <row r="32" customFormat="false" ht="15" hidden="false" customHeight="false" outlineLevel="0" collapsed="false">
      <c r="A32" s="2" t="s">
        <v>75</v>
      </c>
      <c r="B32" s="2" t="s">
        <v>76</v>
      </c>
      <c r="C32" s="2" t="s">
        <v>18</v>
      </c>
      <c r="D32" s="3" t="n">
        <v>79.1</v>
      </c>
      <c r="E32" s="3" t="n">
        <v>63</v>
      </c>
      <c r="F32" s="3" t="n">
        <v>51</v>
      </c>
      <c r="G32" s="3" t="n">
        <v>73</v>
      </c>
      <c r="H32" s="3" t="n">
        <v>52</v>
      </c>
      <c r="I32" s="3" t="n">
        <f aca="false">AVERAGE(E32:H32)</f>
        <v>59.75</v>
      </c>
      <c r="J32" s="2" t="str">
        <f aca="false">IF(OR(I32&lt;60,D32&lt;75),"At Risk",IF(I32&lt;70,"Watch","OK"))</f>
        <v>At Risk</v>
      </c>
    </row>
    <row r="33" customFormat="false" ht="15" hidden="false" customHeight="false" outlineLevel="0" collapsed="false">
      <c r="A33" s="2" t="s">
        <v>77</v>
      </c>
      <c r="B33" s="2" t="s">
        <v>78</v>
      </c>
      <c r="C33" s="2" t="s">
        <v>36</v>
      </c>
      <c r="D33" s="3" t="n">
        <v>79.5</v>
      </c>
      <c r="E33" s="3" t="n">
        <v>85</v>
      </c>
      <c r="F33" s="3" t="n">
        <v>66</v>
      </c>
      <c r="G33" s="3" t="n">
        <v>50</v>
      </c>
      <c r="H33" s="3" t="n">
        <v>64</v>
      </c>
      <c r="I33" s="3" t="n">
        <f aca="false">AVERAGE(E33:H33)</f>
        <v>66.25</v>
      </c>
      <c r="J33" s="2" t="str">
        <f aca="false">IF(OR(I33&lt;60,D33&lt;75),"At Risk",IF(I33&lt;70,"Watch","OK"))</f>
        <v>Watch</v>
      </c>
    </row>
    <row r="34" customFormat="false" ht="15" hidden="false" customHeight="false" outlineLevel="0" collapsed="false">
      <c r="A34" s="2" t="s">
        <v>79</v>
      </c>
      <c r="B34" s="2" t="s">
        <v>80</v>
      </c>
      <c r="C34" s="2" t="s">
        <v>15</v>
      </c>
      <c r="D34" s="3" t="n">
        <v>84.7</v>
      </c>
      <c r="E34" s="3" t="n">
        <v>88</v>
      </c>
      <c r="F34" s="3" t="n">
        <v>68</v>
      </c>
      <c r="G34" s="3" t="n">
        <v>88</v>
      </c>
      <c r="H34" s="3" t="n">
        <v>80</v>
      </c>
      <c r="I34" s="3" t="n">
        <f aca="false">AVERAGE(E34:H34)</f>
        <v>81</v>
      </c>
      <c r="J34" s="2" t="str">
        <f aca="false">IF(OR(I34&lt;60,D34&lt;75),"At Risk",IF(I34&lt;70,"Watch","OK"))</f>
        <v>OK</v>
      </c>
    </row>
    <row r="35" customFormat="false" ht="15" hidden="false" customHeight="false" outlineLevel="0" collapsed="false">
      <c r="A35" s="2" t="s">
        <v>81</v>
      </c>
      <c r="B35" s="2" t="s">
        <v>82</v>
      </c>
      <c r="C35" s="2" t="s">
        <v>15</v>
      </c>
      <c r="D35" s="3" t="n">
        <v>69.3</v>
      </c>
      <c r="E35" s="3" t="n">
        <v>67</v>
      </c>
      <c r="F35" s="3" t="n">
        <v>50</v>
      </c>
      <c r="G35" s="3" t="n">
        <v>74</v>
      </c>
      <c r="H35" s="3" t="n">
        <v>54</v>
      </c>
      <c r="I35" s="3" t="n">
        <f aca="false">AVERAGE(E35:H35)</f>
        <v>61.25</v>
      </c>
      <c r="J35" s="2" t="str">
        <f aca="false">IF(OR(I35&lt;60,D35&lt;75),"At Risk",IF(I35&lt;70,"Watch","OK"))</f>
        <v>At Risk</v>
      </c>
    </row>
    <row r="36" customFormat="false" ht="15" hidden="false" customHeight="false" outlineLevel="0" collapsed="false">
      <c r="A36" s="2" t="s">
        <v>83</v>
      </c>
      <c r="B36" s="2" t="s">
        <v>84</v>
      </c>
      <c r="C36" s="2" t="s">
        <v>12</v>
      </c>
      <c r="D36" s="3" t="n">
        <v>88.2</v>
      </c>
      <c r="E36" s="3" t="n">
        <v>64</v>
      </c>
      <c r="F36" s="3" t="n">
        <v>86</v>
      </c>
      <c r="G36" s="3" t="n">
        <v>50</v>
      </c>
      <c r="H36" s="3" t="n">
        <v>74</v>
      </c>
      <c r="I36" s="3" t="n">
        <f aca="false">AVERAGE(E36:H36)</f>
        <v>68.5</v>
      </c>
      <c r="J36" s="2" t="str">
        <f aca="false">IF(OR(I36&lt;60,D36&lt;75),"At Risk",IF(I36&lt;70,"Watch","OK"))</f>
        <v>Watch</v>
      </c>
    </row>
    <row r="37" customFormat="false" ht="15" hidden="false" customHeight="false" outlineLevel="0" collapsed="false">
      <c r="A37" s="2" t="s">
        <v>85</v>
      </c>
      <c r="B37" s="2" t="s">
        <v>86</v>
      </c>
      <c r="C37" s="2" t="s">
        <v>36</v>
      </c>
      <c r="D37" s="3" t="n">
        <v>78.4</v>
      </c>
      <c r="E37" s="3" t="n">
        <v>80</v>
      </c>
      <c r="F37" s="3" t="n">
        <v>81</v>
      </c>
      <c r="G37" s="3" t="n">
        <v>42</v>
      </c>
      <c r="H37" s="3" t="n">
        <v>76</v>
      </c>
      <c r="I37" s="3" t="n">
        <f aca="false">AVERAGE(E37:H37)</f>
        <v>69.75</v>
      </c>
      <c r="J37" s="2" t="str">
        <f aca="false">IF(OR(I37&lt;60,D37&lt;75),"At Risk",IF(I37&lt;70,"Watch","OK"))</f>
        <v>Watch</v>
      </c>
    </row>
    <row r="38" customFormat="false" ht="15" hidden="false" customHeight="false" outlineLevel="0" collapsed="false">
      <c r="A38" s="2" t="s">
        <v>87</v>
      </c>
      <c r="B38" s="2" t="s">
        <v>88</v>
      </c>
      <c r="C38" s="2" t="s">
        <v>18</v>
      </c>
      <c r="D38" s="3" t="n">
        <v>88.2</v>
      </c>
      <c r="E38" s="3" t="n">
        <v>73</v>
      </c>
      <c r="F38" s="3" t="n">
        <v>76</v>
      </c>
      <c r="G38" s="3" t="n">
        <v>64</v>
      </c>
      <c r="H38" s="3" t="n">
        <v>75</v>
      </c>
      <c r="I38" s="3" t="n">
        <f aca="false">AVERAGE(E38:H38)</f>
        <v>72</v>
      </c>
      <c r="J38" s="2" t="str">
        <f aca="false">IF(OR(I38&lt;60,D38&lt;75),"At Risk",IF(I38&lt;70,"Watch","OK"))</f>
        <v>OK</v>
      </c>
    </row>
    <row r="39" customFormat="false" ht="15" hidden="false" customHeight="false" outlineLevel="0" collapsed="false">
      <c r="A39" s="2" t="s">
        <v>89</v>
      </c>
      <c r="B39" s="2" t="s">
        <v>90</v>
      </c>
      <c r="C39" s="2" t="s">
        <v>12</v>
      </c>
      <c r="D39" s="3" t="n">
        <v>93.8</v>
      </c>
      <c r="E39" s="3" t="n">
        <v>79</v>
      </c>
      <c r="F39" s="3" t="n">
        <v>89</v>
      </c>
      <c r="G39" s="3" t="n">
        <v>93</v>
      </c>
      <c r="H39" s="3" t="n">
        <v>68</v>
      </c>
      <c r="I39" s="3" t="n">
        <f aca="false">AVERAGE(E39:H39)</f>
        <v>82.25</v>
      </c>
      <c r="J39" s="2" t="str">
        <f aca="false">IF(OR(I39&lt;60,D39&lt;75),"At Risk",IF(I39&lt;70,"Watch","OK"))</f>
        <v>OK</v>
      </c>
    </row>
    <row r="40" customFormat="false" ht="15" hidden="false" customHeight="false" outlineLevel="0" collapsed="false">
      <c r="A40" s="2" t="s">
        <v>91</v>
      </c>
      <c r="B40" s="2" t="s">
        <v>92</v>
      </c>
      <c r="C40" s="2" t="s">
        <v>12</v>
      </c>
      <c r="D40" s="3" t="n">
        <v>89.2</v>
      </c>
      <c r="E40" s="3" t="n">
        <v>53</v>
      </c>
      <c r="F40" s="3" t="n">
        <v>70</v>
      </c>
      <c r="G40" s="3" t="n">
        <v>99</v>
      </c>
      <c r="H40" s="3" t="n">
        <v>94</v>
      </c>
      <c r="I40" s="3" t="n">
        <f aca="false">AVERAGE(E40:H40)</f>
        <v>79</v>
      </c>
      <c r="J40" s="2" t="str">
        <f aca="false">IF(OR(I40&lt;60,D40&lt;75),"At Risk",IF(I40&lt;70,"Watch","OK"))</f>
        <v>OK</v>
      </c>
    </row>
    <row r="41" customFormat="false" ht="15" hidden="false" customHeight="false" outlineLevel="0" collapsed="false">
      <c r="A41" s="2" t="s">
        <v>93</v>
      </c>
      <c r="B41" s="2" t="s">
        <v>94</v>
      </c>
      <c r="C41" s="2" t="s">
        <v>12</v>
      </c>
      <c r="D41" s="3" t="n">
        <v>90.8</v>
      </c>
      <c r="E41" s="3" t="n">
        <v>86</v>
      </c>
      <c r="F41" s="3" t="n">
        <v>89</v>
      </c>
      <c r="G41" s="3" t="n">
        <v>83</v>
      </c>
      <c r="H41" s="3" t="n">
        <v>91</v>
      </c>
      <c r="I41" s="3" t="n">
        <f aca="false">AVERAGE(E41:H41)</f>
        <v>87.25</v>
      </c>
      <c r="J41" s="2" t="str">
        <f aca="false">IF(OR(I41&lt;60,D41&lt;75),"At Risk",IF(I41&lt;70,"Watch","OK"))</f>
        <v>OK</v>
      </c>
    </row>
    <row r="42" customFormat="false" ht="15" hidden="false" customHeight="false" outlineLevel="0" collapsed="false">
      <c r="A42" s="2" t="s">
        <v>95</v>
      </c>
      <c r="B42" s="2" t="s">
        <v>96</v>
      </c>
      <c r="C42" s="2" t="s">
        <v>15</v>
      </c>
      <c r="D42" s="3" t="n">
        <v>85</v>
      </c>
      <c r="E42" s="3" t="n">
        <v>94</v>
      </c>
      <c r="F42" s="3" t="n">
        <v>62</v>
      </c>
      <c r="G42" s="3" t="n">
        <v>86</v>
      </c>
      <c r="H42" s="3" t="n">
        <v>82</v>
      </c>
      <c r="I42" s="3" t="n">
        <f aca="false">AVERAGE(E42:H42)</f>
        <v>81</v>
      </c>
      <c r="J42" s="2" t="str">
        <f aca="false">IF(OR(I42&lt;60,D42&lt;75),"At Risk",IF(I42&lt;70,"Watch","OK"))</f>
        <v>OK</v>
      </c>
    </row>
    <row r="43" customFormat="false" ht="15" hidden="false" customHeight="false" outlineLevel="0" collapsed="false">
      <c r="A43" s="2" t="s">
        <v>97</v>
      </c>
      <c r="B43" s="2" t="s">
        <v>98</v>
      </c>
      <c r="C43" s="2" t="s">
        <v>12</v>
      </c>
      <c r="D43" s="3" t="n">
        <v>80.7</v>
      </c>
      <c r="E43" s="3" t="n">
        <v>94</v>
      </c>
      <c r="F43" s="3" t="n">
        <v>95</v>
      </c>
      <c r="G43" s="3" t="n">
        <v>78</v>
      </c>
      <c r="H43" s="3" t="n">
        <v>82</v>
      </c>
      <c r="I43" s="3" t="n">
        <f aca="false">AVERAGE(E43:H43)</f>
        <v>87.25</v>
      </c>
      <c r="J43" s="2" t="str">
        <f aca="false">IF(OR(I43&lt;60,D43&lt;75),"At Risk",IF(I43&lt;70,"Watch","OK"))</f>
        <v>OK</v>
      </c>
    </row>
    <row r="44" customFormat="false" ht="15" hidden="false" customHeight="false" outlineLevel="0" collapsed="false">
      <c r="A44" s="2" t="s">
        <v>99</v>
      </c>
      <c r="B44" s="2" t="s">
        <v>100</v>
      </c>
      <c r="C44" s="2" t="s">
        <v>15</v>
      </c>
      <c r="D44" s="3" t="n">
        <v>63.5</v>
      </c>
      <c r="E44" s="3" t="n">
        <v>76</v>
      </c>
      <c r="F44" s="3" t="n">
        <v>65</v>
      </c>
      <c r="G44" s="3" t="n">
        <v>66</v>
      </c>
      <c r="H44" s="3" t="n">
        <v>45</v>
      </c>
      <c r="I44" s="3" t="n">
        <f aca="false">AVERAGE(E44:H44)</f>
        <v>63</v>
      </c>
      <c r="J44" s="2" t="str">
        <f aca="false">IF(OR(I44&lt;60,D44&lt;75),"At Risk",IF(I44&lt;70,"Watch","OK"))</f>
        <v>At Risk</v>
      </c>
    </row>
    <row r="45" customFormat="false" ht="15" hidden="false" customHeight="false" outlineLevel="0" collapsed="false">
      <c r="A45" s="2" t="s">
        <v>101</v>
      </c>
      <c r="B45" s="2" t="s">
        <v>102</v>
      </c>
      <c r="C45" s="2" t="s">
        <v>15</v>
      </c>
      <c r="D45" s="3" t="n">
        <v>73.8</v>
      </c>
      <c r="E45" s="3" t="n">
        <v>71</v>
      </c>
      <c r="F45" s="3" t="n">
        <v>71</v>
      </c>
      <c r="G45" s="3" t="n">
        <v>81</v>
      </c>
      <c r="H45" s="3" t="n">
        <v>51</v>
      </c>
      <c r="I45" s="3" t="n">
        <f aca="false">AVERAGE(E45:H45)</f>
        <v>68.5</v>
      </c>
      <c r="J45" s="2" t="str">
        <f aca="false">IF(OR(I45&lt;60,D45&lt;75),"At Risk",IF(I45&lt;70,"Watch","OK"))</f>
        <v>At Risk</v>
      </c>
    </row>
    <row r="46" customFormat="false" ht="15" hidden="false" customHeight="false" outlineLevel="0" collapsed="false">
      <c r="A46" s="2" t="s">
        <v>103</v>
      </c>
      <c r="B46" s="2" t="s">
        <v>104</v>
      </c>
      <c r="C46" s="2" t="s">
        <v>36</v>
      </c>
      <c r="D46" s="3" t="n">
        <v>89.5</v>
      </c>
      <c r="E46" s="3" t="n">
        <v>74</v>
      </c>
      <c r="F46" s="3" t="n">
        <v>70</v>
      </c>
      <c r="G46" s="3" t="n">
        <v>57</v>
      </c>
      <c r="H46" s="3" t="n">
        <v>71</v>
      </c>
      <c r="I46" s="3" t="n">
        <f aca="false">AVERAGE(E46:H46)</f>
        <v>68</v>
      </c>
      <c r="J46" s="2" t="str">
        <f aca="false">IF(OR(I46&lt;60,D46&lt;75),"At Risk",IF(I46&lt;70,"Watch","OK"))</f>
        <v>Watch</v>
      </c>
    </row>
    <row r="47" customFormat="false" ht="15" hidden="false" customHeight="false" outlineLevel="0" collapsed="false">
      <c r="A47" s="2" t="s">
        <v>105</v>
      </c>
      <c r="B47" s="2" t="s">
        <v>106</v>
      </c>
      <c r="C47" s="2" t="s">
        <v>36</v>
      </c>
      <c r="D47" s="3" t="n">
        <v>93.4</v>
      </c>
      <c r="E47" s="3" t="n">
        <v>100</v>
      </c>
      <c r="F47" s="3" t="n">
        <v>80</v>
      </c>
      <c r="G47" s="3" t="n">
        <v>85</v>
      </c>
      <c r="H47" s="3" t="n">
        <v>82</v>
      </c>
      <c r="I47" s="3" t="n">
        <f aca="false">AVERAGE(E47:H47)</f>
        <v>86.75</v>
      </c>
      <c r="J47" s="2" t="str">
        <f aca="false">IF(OR(I47&lt;60,D47&lt;75),"At Risk",IF(I47&lt;70,"Watch","OK"))</f>
        <v>OK</v>
      </c>
    </row>
    <row r="48" customFormat="false" ht="15" hidden="false" customHeight="false" outlineLevel="0" collapsed="false">
      <c r="A48" s="2" t="s">
        <v>107</v>
      </c>
      <c r="B48" s="2" t="s">
        <v>108</v>
      </c>
      <c r="C48" s="2" t="s">
        <v>18</v>
      </c>
      <c r="D48" s="3" t="n">
        <v>92</v>
      </c>
      <c r="E48" s="3" t="n">
        <v>96</v>
      </c>
      <c r="F48" s="3" t="n">
        <v>65</v>
      </c>
      <c r="G48" s="3" t="n">
        <v>80</v>
      </c>
      <c r="H48" s="3" t="n">
        <v>100</v>
      </c>
      <c r="I48" s="3" t="n">
        <f aca="false">AVERAGE(E48:H48)</f>
        <v>85.25</v>
      </c>
      <c r="J48" s="2" t="str">
        <f aca="false">IF(OR(I48&lt;60,D48&lt;75),"At Risk",IF(I48&lt;70,"Watch","OK"))</f>
        <v>OK</v>
      </c>
    </row>
    <row r="49" customFormat="false" ht="15" hidden="false" customHeight="false" outlineLevel="0" collapsed="false">
      <c r="A49" s="2" t="s">
        <v>109</v>
      </c>
      <c r="B49" s="2" t="s">
        <v>110</v>
      </c>
      <c r="C49" s="2" t="s">
        <v>12</v>
      </c>
      <c r="D49" s="3" t="n">
        <v>93.3</v>
      </c>
      <c r="E49" s="3" t="n">
        <v>87</v>
      </c>
      <c r="F49" s="3" t="n">
        <v>100</v>
      </c>
      <c r="G49" s="3" t="n">
        <v>73</v>
      </c>
      <c r="H49" s="3" t="n">
        <v>86</v>
      </c>
      <c r="I49" s="3" t="n">
        <f aca="false">AVERAGE(E49:H49)</f>
        <v>86.5</v>
      </c>
      <c r="J49" s="2" t="str">
        <f aca="false">IF(OR(I49&lt;60,D49&lt;75),"At Risk",IF(I49&lt;70,"Watch","OK"))</f>
        <v>OK</v>
      </c>
    </row>
    <row r="50" customFormat="false" ht="15" hidden="false" customHeight="false" outlineLevel="0" collapsed="false">
      <c r="A50" s="2" t="s">
        <v>111</v>
      </c>
      <c r="B50" s="2" t="s">
        <v>112</v>
      </c>
      <c r="C50" s="2" t="s">
        <v>12</v>
      </c>
      <c r="D50" s="3" t="n">
        <v>89.1</v>
      </c>
      <c r="E50" s="3" t="n">
        <v>71</v>
      </c>
      <c r="F50" s="3" t="n">
        <v>85</v>
      </c>
      <c r="G50" s="3" t="n">
        <v>98</v>
      </c>
      <c r="H50" s="3" t="n">
        <v>88</v>
      </c>
      <c r="I50" s="3" t="n">
        <f aca="false">AVERAGE(E50:H50)</f>
        <v>85.5</v>
      </c>
      <c r="J50" s="2" t="str">
        <f aca="false">IF(OR(I50&lt;60,D50&lt;75),"At Risk",IF(I50&lt;70,"Watch","OK"))</f>
        <v>OK</v>
      </c>
    </row>
    <row r="51" customFormat="false" ht="15" hidden="false" customHeight="false" outlineLevel="0" collapsed="false">
      <c r="A51" s="2" t="s">
        <v>113</v>
      </c>
      <c r="B51" s="2" t="s">
        <v>114</v>
      </c>
      <c r="C51" s="2" t="s">
        <v>18</v>
      </c>
      <c r="D51" s="3" t="n">
        <v>89.5</v>
      </c>
      <c r="E51" s="3" t="n">
        <v>85</v>
      </c>
      <c r="F51" s="3" t="n">
        <v>71</v>
      </c>
      <c r="G51" s="3" t="n">
        <v>100</v>
      </c>
      <c r="H51" s="3" t="n">
        <v>84</v>
      </c>
      <c r="I51" s="3" t="n">
        <f aca="false">AVERAGE(E51:H51)</f>
        <v>85</v>
      </c>
      <c r="J51" s="2" t="str">
        <f aca="false">IF(OR(I51&lt;60,D51&lt;75),"At Risk",IF(I51&lt;70,"Watch","OK"))</f>
        <v>OK</v>
      </c>
    </row>
    <row r="52" customFormat="false" ht="15" hidden="false" customHeight="false" outlineLevel="0" collapsed="false">
      <c r="A52" s="2" t="s">
        <v>115</v>
      </c>
      <c r="B52" s="2" t="s">
        <v>116</v>
      </c>
      <c r="C52" s="2" t="s">
        <v>15</v>
      </c>
      <c r="D52" s="3" t="n">
        <v>96.5</v>
      </c>
      <c r="E52" s="3" t="n">
        <v>86</v>
      </c>
      <c r="F52" s="3" t="n">
        <v>92</v>
      </c>
      <c r="G52" s="3" t="n">
        <v>69</v>
      </c>
      <c r="H52" s="3" t="n">
        <v>94</v>
      </c>
      <c r="I52" s="3" t="n">
        <f aca="false">AVERAGE(E52:H52)</f>
        <v>85.25</v>
      </c>
      <c r="J52" s="2" t="str">
        <f aca="false">IF(OR(I52&lt;60,D52&lt;75),"At Risk",IF(I52&lt;70,"Watch","OK"))</f>
        <v>OK</v>
      </c>
    </row>
    <row r="53" customFormat="false" ht="15" hidden="false" customHeight="false" outlineLevel="0" collapsed="false">
      <c r="A53" s="2" t="s">
        <v>117</v>
      </c>
      <c r="B53" s="2" t="s">
        <v>118</v>
      </c>
      <c r="C53" s="2" t="s">
        <v>15</v>
      </c>
      <c r="D53" s="3" t="n">
        <v>97.8</v>
      </c>
      <c r="E53" s="3" t="n">
        <v>100</v>
      </c>
      <c r="F53" s="3" t="n">
        <v>100</v>
      </c>
      <c r="G53" s="3" t="n">
        <v>89</v>
      </c>
      <c r="H53" s="3" t="n">
        <v>91</v>
      </c>
      <c r="I53" s="3" t="n">
        <f aca="false">AVERAGE(E53:H53)</f>
        <v>95</v>
      </c>
      <c r="J53" s="2" t="str">
        <f aca="false">IF(OR(I53&lt;60,D53&lt;75),"At Risk",IF(I53&lt;70,"Watch","OK"))</f>
        <v>OK</v>
      </c>
    </row>
    <row r="54" customFormat="false" ht="15" hidden="false" customHeight="false" outlineLevel="0" collapsed="false">
      <c r="A54" s="2" t="s">
        <v>119</v>
      </c>
      <c r="B54" s="2" t="s">
        <v>120</v>
      </c>
      <c r="C54" s="2" t="s">
        <v>15</v>
      </c>
      <c r="D54" s="3" t="n">
        <v>95.1</v>
      </c>
      <c r="E54" s="3" t="n">
        <v>67</v>
      </c>
      <c r="F54" s="3" t="n">
        <v>81</v>
      </c>
      <c r="G54" s="3" t="n">
        <v>84</v>
      </c>
      <c r="H54" s="3" t="n">
        <v>67</v>
      </c>
      <c r="I54" s="3" t="n">
        <f aca="false">AVERAGE(E54:H54)</f>
        <v>74.75</v>
      </c>
      <c r="J54" s="2" t="str">
        <f aca="false">IF(OR(I54&lt;60,D54&lt;75),"At Risk",IF(I54&lt;70,"Watch","OK"))</f>
        <v>OK</v>
      </c>
    </row>
    <row r="55" customFormat="false" ht="15" hidden="false" customHeight="false" outlineLevel="0" collapsed="false">
      <c r="A55" s="2" t="s">
        <v>121</v>
      </c>
      <c r="B55" s="2" t="s">
        <v>122</v>
      </c>
      <c r="C55" s="2" t="s">
        <v>12</v>
      </c>
      <c r="D55" s="3" t="n">
        <v>96</v>
      </c>
      <c r="E55" s="3" t="n">
        <v>100</v>
      </c>
      <c r="F55" s="3" t="n">
        <v>78</v>
      </c>
      <c r="G55" s="3" t="n">
        <v>83</v>
      </c>
      <c r="H55" s="3" t="n">
        <v>81</v>
      </c>
      <c r="I55" s="3" t="n">
        <f aca="false">AVERAGE(E55:H55)</f>
        <v>85.5</v>
      </c>
      <c r="J55" s="2" t="str">
        <f aca="false">IF(OR(I55&lt;60,D55&lt;75),"At Risk",IF(I55&lt;70,"Watch","OK"))</f>
        <v>OK</v>
      </c>
    </row>
    <row r="56" customFormat="false" ht="15" hidden="false" customHeight="false" outlineLevel="0" collapsed="false">
      <c r="A56" s="2" t="s">
        <v>123</v>
      </c>
      <c r="B56" s="2" t="s">
        <v>124</v>
      </c>
      <c r="C56" s="2" t="s">
        <v>21</v>
      </c>
      <c r="D56" s="3" t="n">
        <v>89.2</v>
      </c>
      <c r="E56" s="3" t="n">
        <v>71</v>
      </c>
      <c r="F56" s="3" t="n">
        <v>96</v>
      </c>
      <c r="G56" s="3" t="n">
        <v>72</v>
      </c>
      <c r="H56" s="3" t="n">
        <v>77</v>
      </c>
      <c r="I56" s="3" t="n">
        <f aca="false">AVERAGE(E56:H56)</f>
        <v>79</v>
      </c>
      <c r="J56" s="2" t="str">
        <f aca="false">IF(OR(I56&lt;60,D56&lt;75),"At Risk",IF(I56&lt;70,"Watch","OK"))</f>
        <v>OK</v>
      </c>
    </row>
    <row r="57" customFormat="false" ht="15" hidden="false" customHeight="false" outlineLevel="0" collapsed="false">
      <c r="A57" s="2" t="s">
        <v>125</v>
      </c>
      <c r="B57" s="2" t="s">
        <v>126</v>
      </c>
      <c r="C57" s="2" t="s">
        <v>36</v>
      </c>
      <c r="D57" s="3" t="n">
        <v>88.1</v>
      </c>
      <c r="E57" s="3" t="n">
        <v>73</v>
      </c>
      <c r="F57" s="3" t="n">
        <v>92</v>
      </c>
      <c r="G57" s="3" t="n">
        <v>88</v>
      </c>
      <c r="H57" s="3" t="n">
        <v>78</v>
      </c>
      <c r="I57" s="3" t="n">
        <f aca="false">AVERAGE(E57:H57)</f>
        <v>82.75</v>
      </c>
      <c r="J57" s="2" t="str">
        <f aca="false">IF(OR(I57&lt;60,D57&lt;75),"At Risk",IF(I57&lt;70,"Watch","OK"))</f>
        <v>OK</v>
      </c>
    </row>
    <row r="58" customFormat="false" ht="15" hidden="false" customHeight="false" outlineLevel="0" collapsed="false">
      <c r="A58" s="2" t="s">
        <v>127</v>
      </c>
      <c r="B58" s="2" t="s">
        <v>128</v>
      </c>
      <c r="C58" s="2" t="s">
        <v>15</v>
      </c>
      <c r="D58" s="3" t="n">
        <v>88.9</v>
      </c>
      <c r="E58" s="3" t="n">
        <v>66</v>
      </c>
      <c r="F58" s="3" t="n">
        <v>82</v>
      </c>
      <c r="G58" s="3" t="n">
        <v>82</v>
      </c>
      <c r="H58" s="3" t="n">
        <v>92</v>
      </c>
      <c r="I58" s="3" t="n">
        <f aca="false">AVERAGE(E58:H58)</f>
        <v>80.5</v>
      </c>
      <c r="J58" s="2" t="str">
        <f aca="false">IF(OR(I58&lt;60,D58&lt;75),"At Risk",IF(I58&lt;70,"Watch","OK"))</f>
        <v>OK</v>
      </c>
    </row>
    <row r="59" customFormat="false" ht="15" hidden="false" customHeight="false" outlineLevel="0" collapsed="false">
      <c r="A59" s="2" t="s">
        <v>129</v>
      </c>
      <c r="B59" s="2" t="s">
        <v>130</v>
      </c>
      <c r="C59" s="2" t="s">
        <v>12</v>
      </c>
      <c r="D59" s="3" t="n">
        <v>79.1</v>
      </c>
      <c r="E59" s="3" t="n">
        <v>61</v>
      </c>
      <c r="F59" s="3" t="n">
        <v>55</v>
      </c>
      <c r="G59" s="3" t="n">
        <v>94</v>
      </c>
      <c r="H59" s="3" t="n">
        <v>85</v>
      </c>
      <c r="I59" s="3" t="n">
        <f aca="false">AVERAGE(E59:H59)</f>
        <v>73.75</v>
      </c>
      <c r="J59" s="2" t="str">
        <f aca="false">IF(OR(I59&lt;60,D59&lt;75),"At Risk",IF(I59&lt;70,"Watch","OK"))</f>
        <v>OK</v>
      </c>
    </row>
    <row r="60" customFormat="false" ht="15" hidden="false" customHeight="false" outlineLevel="0" collapsed="false">
      <c r="A60" s="2" t="s">
        <v>131</v>
      </c>
      <c r="B60" s="2" t="s">
        <v>132</v>
      </c>
      <c r="C60" s="2" t="s">
        <v>36</v>
      </c>
      <c r="D60" s="3" t="n">
        <v>92.1</v>
      </c>
      <c r="E60" s="3" t="n">
        <v>84</v>
      </c>
      <c r="F60" s="3" t="n">
        <v>85</v>
      </c>
      <c r="G60" s="3" t="n">
        <v>99</v>
      </c>
      <c r="H60" s="3" t="n">
        <v>80</v>
      </c>
      <c r="I60" s="3" t="n">
        <f aca="false">AVERAGE(E60:H60)</f>
        <v>87</v>
      </c>
      <c r="J60" s="2" t="str">
        <f aca="false">IF(OR(I60&lt;60,D60&lt;75),"At Risk",IF(I60&lt;70,"Watch","OK"))</f>
        <v>OK</v>
      </c>
    </row>
    <row r="61" customFormat="false" ht="15" hidden="false" customHeight="false" outlineLevel="0" collapsed="false">
      <c r="A61" s="2" t="s">
        <v>133</v>
      </c>
      <c r="B61" s="2" t="s">
        <v>134</v>
      </c>
      <c r="C61" s="2" t="s">
        <v>18</v>
      </c>
      <c r="D61" s="3" t="n">
        <v>83</v>
      </c>
      <c r="E61" s="3" t="n">
        <v>68</v>
      </c>
      <c r="F61" s="3" t="n">
        <v>67</v>
      </c>
      <c r="G61" s="3" t="n">
        <v>68</v>
      </c>
      <c r="H61" s="3" t="n">
        <v>60</v>
      </c>
      <c r="I61" s="3" t="n">
        <f aca="false">AVERAGE(E61:H61)</f>
        <v>65.75</v>
      </c>
      <c r="J61" s="2" t="str">
        <f aca="false">IF(OR(I61&lt;60,D61&lt;75),"At Risk",IF(I61&lt;70,"Watch","OK"))</f>
        <v>Watch</v>
      </c>
    </row>
    <row r="62" customFormat="false" ht="15" hidden="false" customHeight="false" outlineLevel="0" collapsed="false">
      <c r="A62" s="2" t="s">
        <v>135</v>
      </c>
      <c r="B62" s="2" t="s">
        <v>136</v>
      </c>
      <c r="C62" s="2" t="s">
        <v>12</v>
      </c>
      <c r="D62" s="3" t="n">
        <v>94.1</v>
      </c>
      <c r="E62" s="3" t="n">
        <v>100</v>
      </c>
      <c r="F62" s="3" t="n">
        <v>65</v>
      </c>
      <c r="G62" s="3" t="n">
        <v>86</v>
      </c>
      <c r="H62" s="3" t="n">
        <v>76</v>
      </c>
      <c r="I62" s="3" t="n">
        <f aca="false">AVERAGE(E62:H62)</f>
        <v>81.75</v>
      </c>
      <c r="J62" s="2" t="str">
        <f aca="false">IF(OR(I62&lt;60,D62&lt;75),"At Risk",IF(I62&lt;70,"Watch","OK"))</f>
        <v>OK</v>
      </c>
    </row>
    <row r="63" customFormat="false" ht="15" hidden="false" customHeight="false" outlineLevel="0" collapsed="false">
      <c r="A63" s="2" t="s">
        <v>137</v>
      </c>
      <c r="B63" s="2" t="s">
        <v>138</v>
      </c>
      <c r="C63" s="2" t="s">
        <v>18</v>
      </c>
      <c r="D63" s="3" t="n">
        <v>68</v>
      </c>
      <c r="E63" s="3" t="n">
        <v>58</v>
      </c>
      <c r="F63" s="3" t="n">
        <v>81</v>
      </c>
      <c r="G63" s="3" t="n">
        <v>37</v>
      </c>
      <c r="H63" s="3" t="n">
        <v>64</v>
      </c>
      <c r="I63" s="3" t="n">
        <f aca="false">AVERAGE(E63:H63)</f>
        <v>60</v>
      </c>
      <c r="J63" s="2" t="str">
        <f aca="false">IF(OR(I63&lt;60,D63&lt;75),"At Risk",IF(I63&lt;70,"Watch","OK"))</f>
        <v>At Risk</v>
      </c>
    </row>
    <row r="64" customFormat="false" ht="15" hidden="false" customHeight="false" outlineLevel="0" collapsed="false">
      <c r="A64" s="2" t="s">
        <v>139</v>
      </c>
      <c r="B64" s="2" t="s">
        <v>140</v>
      </c>
      <c r="C64" s="2" t="s">
        <v>15</v>
      </c>
      <c r="D64" s="3" t="n">
        <v>87.6</v>
      </c>
      <c r="E64" s="3" t="n">
        <v>100</v>
      </c>
      <c r="F64" s="3" t="n">
        <v>70</v>
      </c>
      <c r="G64" s="3" t="n">
        <v>63</v>
      </c>
      <c r="H64" s="3" t="n">
        <v>65</v>
      </c>
      <c r="I64" s="3" t="n">
        <f aca="false">AVERAGE(E64:H64)</f>
        <v>74.5</v>
      </c>
      <c r="J64" s="2" t="str">
        <f aca="false">IF(OR(I64&lt;60,D64&lt;75),"At Risk",IF(I64&lt;70,"Watch","OK"))</f>
        <v>OK</v>
      </c>
    </row>
    <row r="65" customFormat="false" ht="15" hidden="false" customHeight="false" outlineLevel="0" collapsed="false">
      <c r="A65" s="2" t="s">
        <v>141</v>
      </c>
      <c r="B65" s="2" t="s">
        <v>142</v>
      </c>
      <c r="C65" s="2" t="s">
        <v>15</v>
      </c>
      <c r="D65" s="3" t="n">
        <v>83.9</v>
      </c>
      <c r="E65" s="3" t="n">
        <v>87</v>
      </c>
      <c r="F65" s="3" t="n">
        <v>94</v>
      </c>
      <c r="G65" s="3" t="n">
        <v>55</v>
      </c>
      <c r="H65" s="3" t="n">
        <v>80</v>
      </c>
      <c r="I65" s="3" t="n">
        <f aca="false">AVERAGE(E65:H65)</f>
        <v>79</v>
      </c>
      <c r="J65" s="2" t="str">
        <f aca="false">IF(OR(I65&lt;60,D65&lt;75),"At Risk",IF(I65&lt;70,"Watch","OK"))</f>
        <v>OK</v>
      </c>
    </row>
    <row r="66" customFormat="false" ht="15" hidden="false" customHeight="false" outlineLevel="0" collapsed="false">
      <c r="A66" s="2" t="s">
        <v>143</v>
      </c>
      <c r="B66" s="2" t="s">
        <v>144</v>
      </c>
      <c r="C66" s="2" t="s">
        <v>15</v>
      </c>
      <c r="D66" s="3" t="n">
        <v>84.9</v>
      </c>
      <c r="E66" s="3" t="n">
        <v>76</v>
      </c>
      <c r="F66" s="3" t="n">
        <v>88</v>
      </c>
      <c r="G66" s="3" t="n">
        <v>73</v>
      </c>
      <c r="H66" s="3" t="n">
        <v>66</v>
      </c>
      <c r="I66" s="3" t="n">
        <f aca="false">AVERAGE(E66:H66)</f>
        <v>75.75</v>
      </c>
      <c r="J66" s="2" t="str">
        <f aca="false">IF(OR(I66&lt;60,D66&lt;75),"At Risk",IF(I66&lt;70,"Watch","OK"))</f>
        <v>OK</v>
      </c>
    </row>
    <row r="67" customFormat="false" ht="15" hidden="false" customHeight="false" outlineLevel="0" collapsed="false">
      <c r="A67" s="2" t="s">
        <v>145</v>
      </c>
      <c r="B67" s="2" t="s">
        <v>146</v>
      </c>
      <c r="C67" s="2" t="s">
        <v>15</v>
      </c>
      <c r="D67" s="3" t="n">
        <v>70.2</v>
      </c>
      <c r="E67" s="3" t="n">
        <v>67</v>
      </c>
      <c r="F67" s="3" t="n">
        <v>70</v>
      </c>
      <c r="G67" s="3" t="n">
        <v>65</v>
      </c>
      <c r="H67" s="3" t="n">
        <v>67</v>
      </c>
      <c r="I67" s="3" t="n">
        <f aca="false">AVERAGE(E67:H67)</f>
        <v>67.25</v>
      </c>
      <c r="J67" s="2" t="str">
        <f aca="false">IF(OR(I67&lt;60,D67&lt;75),"At Risk",IF(I67&lt;70,"Watch","OK"))</f>
        <v>At Risk</v>
      </c>
    </row>
    <row r="68" customFormat="false" ht="15" hidden="false" customHeight="false" outlineLevel="0" collapsed="false">
      <c r="A68" s="2" t="s">
        <v>147</v>
      </c>
      <c r="B68" s="2" t="s">
        <v>148</v>
      </c>
      <c r="C68" s="2" t="s">
        <v>21</v>
      </c>
      <c r="D68" s="3" t="n">
        <v>86.4</v>
      </c>
      <c r="E68" s="3" t="n">
        <v>69</v>
      </c>
      <c r="F68" s="3" t="n">
        <v>81</v>
      </c>
      <c r="G68" s="3" t="n">
        <v>54</v>
      </c>
      <c r="H68" s="3" t="n">
        <v>89</v>
      </c>
      <c r="I68" s="3" t="n">
        <f aca="false">AVERAGE(E68:H68)</f>
        <v>73.25</v>
      </c>
      <c r="J68" s="2" t="str">
        <f aca="false">IF(OR(I68&lt;60,D68&lt;75),"At Risk",IF(I68&lt;70,"Watch","OK"))</f>
        <v>OK</v>
      </c>
    </row>
    <row r="69" customFormat="false" ht="15" hidden="false" customHeight="false" outlineLevel="0" collapsed="false">
      <c r="A69" s="2" t="s">
        <v>149</v>
      </c>
      <c r="B69" s="2" t="s">
        <v>150</v>
      </c>
      <c r="C69" s="2" t="s">
        <v>15</v>
      </c>
      <c r="D69" s="3" t="n">
        <v>82.1</v>
      </c>
      <c r="E69" s="3" t="n">
        <v>83</v>
      </c>
      <c r="F69" s="3" t="n">
        <v>73</v>
      </c>
      <c r="G69" s="3" t="n">
        <v>73</v>
      </c>
      <c r="H69" s="3" t="n">
        <v>49</v>
      </c>
      <c r="I69" s="3" t="n">
        <f aca="false">AVERAGE(E69:H69)</f>
        <v>69.5</v>
      </c>
      <c r="J69" s="2" t="str">
        <f aca="false">IF(OR(I69&lt;60,D69&lt;75),"At Risk",IF(I69&lt;70,"Watch","OK"))</f>
        <v>Watch</v>
      </c>
    </row>
    <row r="70" customFormat="false" ht="15" hidden="false" customHeight="false" outlineLevel="0" collapsed="false">
      <c r="A70" s="2" t="s">
        <v>151</v>
      </c>
      <c r="B70" s="2" t="s">
        <v>152</v>
      </c>
      <c r="C70" s="2" t="s">
        <v>15</v>
      </c>
      <c r="D70" s="3" t="n">
        <v>92</v>
      </c>
      <c r="E70" s="3" t="n">
        <v>93</v>
      </c>
      <c r="F70" s="3" t="n">
        <v>74</v>
      </c>
      <c r="G70" s="3" t="n">
        <v>80</v>
      </c>
      <c r="H70" s="3" t="n">
        <v>96</v>
      </c>
      <c r="I70" s="3" t="n">
        <f aca="false">AVERAGE(E70:H70)</f>
        <v>85.75</v>
      </c>
      <c r="J70" s="2" t="str">
        <f aca="false">IF(OR(I70&lt;60,D70&lt;75),"At Risk",IF(I70&lt;70,"Watch","OK"))</f>
        <v>OK</v>
      </c>
    </row>
    <row r="71" customFormat="false" ht="15" hidden="false" customHeight="false" outlineLevel="0" collapsed="false">
      <c r="A71" s="2" t="s">
        <v>153</v>
      </c>
      <c r="B71" s="2" t="s">
        <v>154</v>
      </c>
      <c r="C71" s="2" t="s">
        <v>18</v>
      </c>
      <c r="D71" s="3" t="n">
        <v>90.4</v>
      </c>
      <c r="E71" s="3" t="n">
        <v>95</v>
      </c>
      <c r="F71" s="3" t="n">
        <v>58</v>
      </c>
      <c r="G71" s="3" t="n">
        <v>95</v>
      </c>
      <c r="H71" s="3" t="n">
        <v>79</v>
      </c>
      <c r="I71" s="3" t="n">
        <f aca="false">AVERAGE(E71:H71)</f>
        <v>81.75</v>
      </c>
      <c r="J71" s="2" t="str">
        <f aca="false">IF(OR(I71&lt;60,D71&lt;75),"At Risk",IF(I71&lt;70,"Watch","OK"))</f>
        <v>OK</v>
      </c>
    </row>
    <row r="72" customFormat="false" ht="15" hidden="false" customHeight="false" outlineLevel="0" collapsed="false">
      <c r="A72" s="2" t="s">
        <v>155</v>
      </c>
      <c r="B72" s="2" t="s">
        <v>156</v>
      </c>
      <c r="C72" s="2" t="s">
        <v>15</v>
      </c>
      <c r="D72" s="3" t="n">
        <v>89.1</v>
      </c>
      <c r="E72" s="3" t="n">
        <v>90</v>
      </c>
      <c r="F72" s="3" t="n">
        <v>85</v>
      </c>
      <c r="G72" s="3" t="n">
        <v>84</v>
      </c>
      <c r="H72" s="3" t="n">
        <v>73</v>
      </c>
      <c r="I72" s="3" t="n">
        <f aca="false">AVERAGE(E72:H72)</f>
        <v>83</v>
      </c>
      <c r="J72" s="2" t="str">
        <f aca="false">IF(OR(I72&lt;60,D72&lt;75),"At Risk",IF(I72&lt;70,"Watch","OK"))</f>
        <v>OK</v>
      </c>
    </row>
    <row r="73" customFormat="false" ht="15" hidden="false" customHeight="false" outlineLevel="0" collapsed="false">
      <c r="A73" s="2" t="s">
        <v>157</v>
      </c>
      <c r="B73" s="2" t="s">
        <v>158</v>
      </c>
      <c r="C73" s="2" t="s">
        <v>21</v>
      </c>
      <c r="D73" s="3" t="n">
        <v>76.5</v>
      </c>
      <c r="E73" s="3" t="n">
        <v>57</v>
      </c>
      <c r="F73" s="3" t="n">
        <v>84</v>
      </c>
      <c r="G73" s="3" t="n">
        <v>52</v>
      </c>
      <c r="H73" s="3" t="n">
        <v>80</v>
      </c>
      <c r="I73" s="3" t="n">
        <f aca="false">AVERAGE(E73:H73)</f>
        <v>68.25</v>
      </c>
      <c r="J73" s="2" t="str">
        <f aca="false">IF(OR(I73&lt;60,D73&lt;75),"At Risk",IF(I73&lt;70,"Watch","OK"))</f>
        <v>Watch</v>
      </c>
    </row>
    <row r="74" customFormat="false" ht="15" hidden="false" customHeight="false" outlineLevel="0" collapsed="false">
      <c r="A74" s="2" t="s">
        <v>159</v>
      </c>
      <c r="B74" s="2" t="s">
        <v>160</v>
      </c>
      <c r="C74" s="2" t="s">
        <v>12</v>
      </c>
      <c r="D74" s="3" t="n">
        <v>84.5</v>
      </c>
      <c r="E74" s="3" t="n">
        <v>74</v>
      </c>
      <c r="F74" s="3" t="n">
        <v>71</v>
      </c>
      <c r="G74" s="3" t="n">
        <v>83</v>
      </c>
      <c r="H74" s="3" t="n">
        <v>72</v>
      </c>
      <c r="I74" s="3" t="n">
        <f aca="false">AVERAGE(E74:H74)</f>
        <v>75</v>
      </c>
      <c r="J74" s="2" t="str">
        <f aca="false">IF(OR(I74&lt;60,D74&lt;75),"At Risk",IF(I74&lt;70,"Watch","OK"))</f>
        <v>OK</v>
      </c>
    </row>
    <row r="75" customFormat="false" ht="15" hidden="false" customHeight="false" outlineLevel="0" collapsed="false">
      <c r="A75" s="2" t="s">
        <v>161</v>
      </c>
      <c r="B75" s="2" t="s">
        <v>162</v>
      </c>
      <c r="C75" s="2" t="s">
        <v>12</v>
      </c>
      <c r="D75" s="3" t="n">
        <v>96</v>
      </c>
      <c r="E75" s="3" t="n">
        <v>87</v>
      </c>
      <c r="F75" s="3" t="n">
        <v>88</v>
      </c>
      <c r="G75" s="3" t="n">
        <v>90</v>
      </c>
      <c r="H75" s="3" t="n">
        <v>91</v>
      </c>
      <c r="I75" s="3" t="n">
        <f aca="false">AVERAGE(E75:H75)</f>
        <v>89</v>
      </c>
      <c r="J75" s="2" t="str">
        <f aca="false">IF(OR(I75&lt;60,D75&lt;75),"At Risk",IF(I75&lt;70,"Watch","OK"))</f>
        <v>OK</v>
      </c>
    </row>
    <row r="76" customFormat="false" ht="15" hidden="false" customHeight="false" outlineLevel="0" collapsed="false">
      <c r="A76" s="2" t="s">
        <v>163</v>
      </c>
      <c r="B76" s="2" t="s">
        <v>164</v>
      </c>
      <c r="C76" s="2" t="s">
        <v>15</v>
      </c>
      <c r="D76" s="3" t="n">
        <v>95.9</v>
      </c>
      <c r="E76" s="3" t="n">
        <v>77</v>
      </c>
      <c r="F76" s="3" t="n">
        <v>88</v>
      </c>
      <c r="G76" s="3" t="n">
        <v>75</v>
      </c>
      <c r="H76" s="3" t="n">
        <v>98</v>
      </c>
      <c r="I76" s="3" t="n">
        <f aca="false">AVERAGE(E76:H76)</f>
        <v>84.5</v>
      </c>
      <c r="J76" s="2" t="str">
        <f aca="false">IF(OR(I76&lt;60,D76&lt;75),"At Risk",IF(I76&lt;70,"Watch","OK"))</f>
        <v>OK</v>
      </c>
    </row>
    <row r="77" customFormat="false" ht="15" hidden="false" customHeight="false" outlineLevel="0" collapsed="false">
      <c r="A77" s="2" t="s">
        <v>165</v>
      </c>
      <c r="B77" s="2" t="s">
        <v>166</v>
      </c>
      <c r="C77" s="2" t="s">
        <v>36</v>
      </c>
      <c r="D77" s="3" t="n">
        <v>96.6</v>
      </c>
      <c r="E77" s="3" t="n">
        <v>89</v>
      </c>
      <c r="F77" s="3" t="n">
        <v>88</v>
      </c>
      <c r="G77" s="3" t="n">
        <v>80</v>
      </c>
      <c r="H77" s="3" t="n">
        <v>100</v>
      </c>
      <c r="I77" s="3" t="n">
        <f aca="false">AVERAGE(E77:H77)</f>
        <v>89.25</v>
      </c>
      <c r="J77" s="2" t="str">
        <f aca="false">IF(OR(I77&lt;60,D77&lt;75),"At Risk",IF(I77&lt;70,"Watch","OK"))</f>
        <v>OK</v>
      </c>
    </row>
    <row r="78" customFormat="false" ht="15" hidden="false" customHeight="false" outlineLevel="0" collapsed="false">
      <c r="A78" s="2" t="s">
        <v>167</v>
      </c>
      <c r="B78" s="2" t="s">
        <v>168</v>
      </c>
      <c r="C78" s="2" t="s">
        <v>36</v>
      </c>
      <c r="D78" s="3" t="n">
        <v>69.9</v>
      </c>
      <c r="E78" s="3" t="n">
        <v>54</v>
      </c>
      <c r="F78" s="3" t="n">
        <v>44</v>
      </c>
      <c r="G78" s="3" t="n">
        <v>76</v>
      </c>
      <c r="H78" s="3" t="n">
        <v>72</v>
      </c>
      <c r="I78" s="3" t="n">
        <f aca="false">AVERAGE(E78:H78)</f>
        <v>61.5</v>
      </c>
      <c r="J78" s="2" t="str">
        <f aca="false">IF(OR(I78&lt;60,D78&lt;75),"At Risk",IF(I78&lt;70,"Watch","OK"))</f>
        <v>At Risk</v>
      </c>
    </row>
    <row r="79" customFormat="false" ht="15" hidden="false" customHeight="false" outlineLevel="0" collapsed="false">
      <c r="A79" s="2" t="s">
        <v>169</v>
      </c>
      <c r="B79" s="2" t="s">
        <v>170</v>
      </c>
      <c r="C79" s="2" t="s">
        <v>12</v>
      </c>
      <c r="D79" s="3" t="n">
        <v>91.9</v>
      </c>
      <c r="E79" s="3" t="n">
        <v>79</v>
      </c>
      <c r="F79" s="3" t="n">
        <v>81</v>
      </c>
      <c r="G79" s="3" t="n">
        <v>65</v>
      </c>
      <c r="H79" s="3" t="n">
        <v>78</v>
      </c>
      <c r="I79" s="3" t="n">
        <f aca="false">AVERAGE(E79:H79)</f>
        <v>75.75</v>
      </c>
      <c r="J79" s="2" t="str">
        <f aca="false">IF(OR(I79&lt;60,D79&lt;75),"At Risk",IF(I79&lt;70,"Watch","OK"))</f>
        <v>OK</v>
      </c>
    </row>
    <row r="80" customFormat="false" ht="15" hidden="false" customHeight="false" outlineLevel="0" collapsed="false">
      <c r="A80" s="2" t="s">
        <v>171</v>
      </c>
      <c r="B80" s="2" t="s">
        <v>172</v>
      </c>
      <c r="C80" s="2" t="s">
        <v>21</v>
      </c>
      <c r="D80" s="3" t="n">
        <v>64</v>
      </c>
      <c r="E80" s="3" t="n">
        <v>42</v>
      </c>
      <c r="F80" s="3" t="n">
        <v>61</v>
      </c>
      <c r="G80" s="3" t="n">
        <v>44</v>
      </c>
      <c r="H80" s="3" t="n">
        <v>59</v>
      </c>
      <c r="I80" s="3" t="n">
        <f aca="false">AVERAGE(E80:H80)</f>
        <v>51.5</v>
      </c>
      <c r="J80" s="2" t="str">
        <f aca="false">IF(OR(I80&lt;60,D80&lt;75),"At Risk",IF(I80&lt;70,"Watch","OK"))</f>
        <v>At Risk</v>
      </c>
    </row>
    <row r="81" customFormat="false" ht="15" hidden="false" customHeight="false" outlineLevel="0" collapsed="false">
      <c r="A81" s="2" t="s">
        <v>173</v>
      </c>
      <c r="B81" s="2" t="s">
        <v>174</v>
      </c>
      <c r="C81" s="2" t="s">
        <v>18</v>
      </c>
      <c r="D81" s="3" t="n">
        <v>75</v>
      </c>
      <c r="E81" s="3" t="n">
        <v>48</v>
      </c>
      <c r="F81" s="3" t="n">
        <v>63</v>
      </c>
      <c r="G81" s="3" t="n">
        <v>45</v>
      </c>
      <c r="H81" s="3" t="n">
        <v>47</v>
      </c>
      <c r="I81" s="3" t="n">
        <f aca="false">AVERAGE(E81:H81)</f>
        <v>50.75</v>
      </c>
      <c r="J81" s="2" t="str">
        <f aca="false">IF(OR(I81&lt;60,D81&lt;75),"At Risk",IF(I81&lt;70,"Watch","OK"))</f>
        <v>At Risk</v>
      </c>
    </row>
    <row r="82" customFormat="false" ht="15" hidden="false" customHeight="false" outlineLevel="0" collapsed="false">
      <c r="A82" s="2" t="s">
        <v>175</v>
      </c>
      <c r="B82" s="2" t="s">
        <v>176</v>
      </c>
      <c r="C82" s="2" t="s">
        <v>18</v>
      </c>
      <c r="D82" s="3" t="n">
        <v>83.6</v>
      </c>
      <c r="E82" s="3" t="n">
        <v>72</v>
      </c>
      <c r="F82" s="3" t="n">
        <v>64</v>
      </c>
      <c r="G82" s="3" t="n">
        <v>87</v>
      </c>
      <c r="H82" s="3" t="n">
        <v>55</v>
      </c>
      <c r="I82" s="3" t="n">
        <f aca="false">AVERAGE(E82:H82)</f>
        <v>69.5</v>
      </c>
      <c r="J82" s="2" t="str">
        <f aca="false">IF(OR(I82&lt;60,D82&lt;75),"At Risk",IF(I82&lt;70,"Watch","OK"))</f>
        <v>Watch</v>
      </c>
    </row>
    <row r="83" customFormat="false" ht="15" hidden="false" customHeight="false" outlineLevel="0" collapsed="false">
      <c r="A83" s="2" t="s">
        <v>177</v>
      </c>
      <c r="B83" s="2" t="s">
        <v>178</v>
      </c>
      <c r="C83" s="2" t="s">
        <v>18</v>
      </c>
      <c r="D83" s="3" t="n">
        <v>77.7</v>
      </c>
      <c r="E83" s="3" t="n">
        <v>52</v>
      </c>
      <c r="F83" s="3" t="n">
        <v>71</v>
      </c>
      <c r="G83" s="3" t="n">
        <v>66</v>
      </c>
      <c r="H83" s="3" t="n">
        <v>70</v>
      </c>
      <c r="I83" s="3" t="n">
        <f aca="false">AVERAGE(E83:H83)</f>
        <v>64.75</v>
      </c>
      <c r="J83" s="2" t="str">
        <f aca="false">IF(OR(I83&lt;60,D83&lt;75),"At Risk",IF(I83&lt;70,"Watch","OK"))</f>
        <v>Watch</v>
      </c>
    </row>
    <row r="84" customFormat="false" ht="15" hidden="false" customHeight="false" outlineLevel="0" collapsed="false">
      <c r="A84" s="2" t="s">
        <v>179</v>
      </c>
      <c r="B84" s="2" t="s">
        <v>180</v>
      </c>
      <c r="C84" s="2" t="s">
        <v>18</v>
      </c>
      <c r="D84" s="3" t="n">
        <v>76.5</v>
      </c>
      <c r="E84" s="3" t="n">
        <v>70</v>
      </c>
      <c r="F84" s="3" t="n">
        <v>56</v>
      </c>
      <c r="G84" s="3" t="n">
        <v>80</v>
      </c>
      <c r="H84" s="3" t="n">
        <v>54</v>
      </c>
      <c r="I84" s="3" t="n">
        <f aca="false">AVERAGE(E84:H84)</f>
        <v>65</v>
      </c>
      <c r="J84" s="2" t="str">
        <f aca="false">IF(OR(I84&lt;60,D84&lt;75),"At Risk",IF(I84&lt;70,"Watch","OK"))</f>
        <v>Watch</v>
      </c>
    </row>
    <row r="85" customFormat="false" ht="15" hidden="false" customHeight="false" outlineLevel="0" collapsed="false">
      <c r="A85" s="2" t="s">
        <v>181</v>
      </c>
      <c r="B85" s="2" t="s">
        <v>182</v>
      </c>
      <c r="C85" s="2" t="s">
        <v>12</v>
      </c>
      <c r="D85" s="3" t="n">
        <v>85.7</v>
      </c>
      <c r="E85" s="3" t="n">
        <v>79</v>
      </c>
      <c r="F85" s="3" t="n">
        <v>84</v>
      </c>
      <c r="G85" s="3" t="n">
        <v>63</v>
      </c>
      <c r="H85" s="3" t="n">
        <v>84</v>
      </c>
      <c r="I85" s="3" t="n">
        <f aca="false">AVERAGE(E85:H85)</f>
        <v>77.5</v>
      </c>
      <c r="J85" s="2" t="str">
        <f aca="false">IF(OR(I85&lt;60,D85&lt;75),"At Risk",IF(I85&lt;70,"Watch","OK"))</f>
        <v>OK</v>
      </c>
    </row>
    <row r="86" customFormat="false" ht="15" hidden="false" customHeight="false" outlineLevel="0" collapsed="false">
      <c r="A86" s="2" t="s">
        <v>183</v>
      </c>
      <c r="B86" s="2" t="s">
        <v>184</v>
      </c>
      <c r="C86" s="2" t="s">
        <v>18</v>
      </c>
      <c r="D86" s="3" t="n">
        <v>84</v>
      </c>
      <c r="E86" s="3" t="n">
        <v>84</v>
      </c>
      <c r="F86" s="3" t="n">
        <v>75</v>
      </c>
      <c r="G86" s="3" t="n">
        <v>67</v>
      </c>
      <c r="H86" s="3" t="n">
        <v>79</v>
      </c>
      <c r="I86" s="3" t="n">
        <f aca="false">AVERAGE(E86:H86)</f>
        <v>76.25</v>
      </c>
      <c r="J86" s="2" t="str">
        <f aca="false">IF(OR(I86&lt;60,D86&lt;75),"At Risk",IF(I86&lt;70,"Watch","OK"))</f>
        <v>OK</v>
      </c>
    </row>
    <row r="87" customFormat="false" ht="15" hidden="false" customHeight="false" outlineLevel="0" collapsed="false">
      <c r="A87" s="2" t="s">
        <v>185</v>
      </c>
      <c r="B87" s="2" t="s">
        <v>186</v>
      </c>
      <c r="C87" s="2" t="s">
        <v>21</v>
      </c>
      <c r="D87" s="3" t="n">
        <v>84.6</v>
      </c>
      <c r="E87" s="3" t="n">
        <v>62</v>
      </c>
      <c r="F87" s="3" t="n">
        <v>72</v>
      </c>
      <c r="G87" s="3" t="n">
        <v>74</v>
      </c>
      <c r="H87" s="3" t="n">
        <v>64</v>
      </c>
      <c r="I87" s="3" t="n">
        <f aca="false">AVERAGE(E87:H87)</f>
        <v>68</v>
      </c>
      <c r="J87" s="2" t="str">
        <f aca="false">IF(OR(I87&lt;60,D87&lt;75),"At Risk",IF(I87&lt;70,"Watch","OK"))</f>
        <v>Watch</v>
      </c>
    </row>
    <row r="88" customFormat="false" ht="15" hidden="false" customHeight="false" outlineLevel="0" collapsed="false">
      <c r="A88" s="2" t="s">
        <v>187</v>
      </c>
      <c r="B88" s="2" t="s">
        <v>188</v>
      </c>
      <c r="C88" s="2" t="s">
        <v>21</v>
      </c>
      <c r="D88" s="3" t="n">
        <v>79.8</v>
      </c>
      <c r="E88" s="3" t="n">
        <v>72</v>
      </c>
      <c r="F88" s="3" t="n">
        <v>89</v>
      </c>
      <c r="G88" s="3" t="n">
        <v>62</v>
      </c>
      <c r="H88" s="3" t="n">
        <v>88</v>
      </c>
      <c r="I88" s="3" t="n">
        <f aca="false">AVERAGE(E88:H88)</f>
        <v>77.75</v>
      </c>
      <c r="J88" s="2" t="str">
        <f aca="false">IF(OR(I88&lt;60,D88&lt;75),"At Risk",IF(I88&lt;70,"Watch","OK"))</f>
        <v>OK</v>
      </c>
    </row>
    <row r="89" customFormat="false" ht="15" hidden="false" customHeight="false" outlineLevel="0" collapsed="false">
      <c r="A89" s="2" t="s">
        <v>189</v>
      </c>
      <c r="B89" s="2" t="s">
        <v>190</v>
      </c>
      <c r="C89" s="2" t="s">
        <v>36</v>
      </c>
      <c r="D89" s="3" t="n">
        <v>76.6</v>
      </c>
      <c r="E89" s="3" t="n">
        <v>47</v>
      </c>
      <c r="F89" s="3" t="n">
        <v>69</v>
      </c>
      <c r="G89" s="3" t="n">
        <v>81</v>
      </c>
      <c r="H89" s="3" t="n">
        <v>64</v>
      </c>
      <c r="I89" s="3" t="n">
        <f aca="false">AVERAGE(E89:H89)</f>
        <v>65.25</v>
      </c>
      <c r="J89" s="2" t="str">
        <f aca="false">IF(OR(I89&lt;60,D89&lt;75),"At Risk",IF(I89&lt;70,"Watch","OK"))</f>
        <v>Watch</v>
      </c>
    </row>
    <row r="90" customFormat="false" ht="15" hidden="false" customHeight="false" outlineLevel="0" collapsed="false">
      <c r="A90" s="2" t="s">
        <v>191</v>
      </c>
      <c r="B90" s="2" t="s">
        <v>192</v>
      </c>
      <c r="C90" s="2" t="s">
        <v>36</v>
      </c>
      <c r="D90" s="3" t="n">
        <v>79.5</v>
      </c>
      <c r="E90" s="3" t="n">
        <v>63</v>
      </c>
      <c r="F90" s="3" t="n">
        <v>77</v>
      </c>
      <c r="G90" s="3" t="n">
        <v>68</v>
      </c>
      <c r="H90" s="3" t="n">
        <v>63</v>
      </c>
      <c r="I90" s="3" t="n">
        <f aca="false">AVERAGE(E90:H90)</f>
        <v>67.75</v>
      </c>
      <c r="J90" s="2" t="str">
        <f aca="false">IF(OR(I90&lt;60,D90&lt;75),"At Risk",IF(I90&lt;70,"Watch","OK"))</f>
        <v>Watch</v>
      </c>
    </row>
    <row r="91" customFormat="false" ht="15" hidden="false" customHeight="false" outlineLevel="0" collapsed="false">
      <c r="A91" s="2" t="s">
        <v>193</v>
      </c>
      <c r="B91" s="2" t="s">
        <v>194</v>
      </c>
      <c r="C91" s="2" t="s">
        <v>15</v>
      </c>
      <c r="D91" s="3" t="n">
        <v>79.3</v>
      </c>
      <c r="E91" s="3" t="n">
        <v>85</v>
      </c>
      <c r="F91" s="3" t="n">
        <v>63</v>
      </c>
      <c r="G91" s="3" t="n">
        <v>69</v>
      </c>
      <c r="H91" s="3" t="n">
        <v>64</v>
      </c>
      <c r="I91" s="3" t="n">
        <f aca="false">AVERAGE(E91:H91)</f>
        <v>70.25</v>
      </c>
      <c r="J91" s="2" t="str">
        <f aca="false">IF(OR(I91&lt;60,D91&lt;75),"At Risk",IF(I91&lt;70,"Watch","OK"))</f>
        <v>OK</v>
      </c>
    </row>
    <row r="92" customFormat="false" ht="15" hidden="false" customHeight="false" outlineLevel="0" collapsed="false">
      <c r="A92" s="2" t="s">
        <v>195</v>
      </c>
      <c r="B92" s="2" t="s">
        <v>196</v>
      </c>
      <c r="C92" s="2" t="s">
        <v>21</v>
      </c>
      <c r="D92" s="3" t="n">
        <v>84.5</v>
      </c>
      <c r="E92" s="3" t="n">
        <v>67</v>
      </c>
      <c r="F92" s="3" t="n">
        <v>77</v>
      </c>
      <c r="G92" s="3" t="n">
        <v>100</v>
      </c>
      <c r="H92" s="3" t="n">
        <v>84</v>
      </c>
      <c r="I92" s="3" t="n">
        <f aca="false">AVERAGE(E92:H92)</f>
        <v>82</v>
      </c>
      <c r="J92" s="2" t="str">
        <f aca="false">IF(OR(I92&lt;60,D92&lt;75),"At Risk",IF(I92&lt;70,"Watch","OK"))</f>
        <v>OK</v>
      </c>
    </row>
    <row r="93" customFormat="false" ht="15" hidden="false" customHeight="false" outlineLevel="0" collapsed="false">
      <c r="A93" s="2" t="s">
        <v>197</v>
      </c>
      <c r="B93" s="2" t="s">
        <v>198</v>
      </c>
      <c r="C93" s="2" t="s">
        <v>12</v>
      </c>
      <c r="D93" s="3" t="n">
        <v>82.6</v>
      </c>
      <c r="E93" s="3" t="n">
        <v>88</v>
      </c>
      <c r="F93" s="3" t="n">
        <v>80</v>
      </c>
      <c r="G93" s="3" t="n">
        <v>79</v>
      </c>
      <c r="H93" s="3" t="n">
        <v>75</v>
      </c>
      <c r="I93" s="3" t="n">
        <f aca="false">AVERAGE(E93:H93)</f>
        <v>80.5</v>
      </c>
      <c r="J93" s="2" t="str">
        <f aca="false">IF(OR(I93&lt;60,D93&lt;75),"At Risk",IF(I93&lt;70,"Watch","OK"))</f>
        <v>OK</v>
      </c>
    </row>
    <row r="94" customFormat="false" ht="15" hidden="false" customHeight="false" outlineLevel="0" collapsed="false">
      <c r="A94" s="2" t="s">
        <v>199</v>
      </c>
      <c r="B94" s="2" t="s">
        <v>200</v>
      </c>
      <c r="C94" s="2" t="s">
        <v>12</v>
      </c>
      <c r="D94" s="3" t="n">
        <v>98.6</v>
      </c>
      <c r="E94" s="3" t="n">
        <v>100</v>
      </c>
      <c r="F94" s="3" t="n">
        <v>100</v>
      </c>
      <c r="G94" s="3" t="n">
        <v>72</v>
      </c>
      <c r="H94" s="3" t="n">
        <v>75</v>
      </c>
      <c r="I94" s="3" t="n">
        <f aca="false">AVERAGE(E94:H94)</f>
        <v>86.75</v>
      </c>
      <c r="J94" s="2" t="str">
        <f aca="false">IF(OR(I94&lt;60,D94&lt;75),"At Risk",IF(I94&lt;70,"Watch","OK"))</f>
        <v>OK</v>
      </c>
    </row>
    <row r="95" customFormat="false" ht="15" hidden="false" customHeight="false" outlineLevel="0" collapsed="false">
      <c r="A95" s="2" t="s">
        <v>201</v>
      </c>
      <c r="B95" s="2" t="s">
        <v>202</v>
      </c>
      <c r="C95" s="2" t="s">
        <v>18</v>
      </c>
      <c r="D95" s="3" t="n">
        <v>84</v>
      </c>
      <c r="E95" s="3" t="n">
        <v>52</v>
      </c>
      <c r="F95" s="3" t="n">
        <v>82</v>
      </c>
      <c r="G95" s="3" t="n">
        <v>84</v>
      </c>
      <c r="H95" s="3" t="n">
        <v>73</v>
      </c>
      <c r="I95" s="3" t="n">
        <f aca="false">AVERAGE(E95:H95)</f>
        <v>72.75</v>
      </c>
      <c r="J95" s="2" t="str">
        <f aca="false">IF(OR(I95&lt;60,D95&lt;75),"At Risk",IF(I95&lt;70,"Watch","OK"))</f>
        <v>OK</v>
      </c>
    </row>
    <row r="96" customFormat="false" ht="15" hidden="false" customHeight="false" outlineLevel="0" collapsed="false">
      <c r="A96" s="2" t="s">
        <v>203</v>
      </c>
      <c r="B96" s="2" t="s">
        <v>204</v>
      </c>
      <c r="C96" s="2" t="s">
        <v>15</v>
      </c>
      <c r="D96" s="3" t="n">
        <v>96.4</v>
      </c>
      <c r="E96" s="3" t="n">
        <v>100</v>
      </c>
      <c r="F96" s="3" t="n">
        <v>98</v>
      </c>
      <c r="G96" s="3" t="n">
        <v>80</v>
      </c>
      <c r="H96" s="3" t="n">
        <v>80</v>
      </c>
      <c r="I96" s="3" t="n">
        <f aca="false">AVERAGE(E96:H96)</f>
        <v>89.5</v>
      </c>
      <c r="J96" s="2" t="str">
        <f aca="false">IF(OR(I96&lt;60,D96&lt;75),"At Risk",IF(I96&lt;70,"Watch","OK"))</f>
        <v>OK</v>
      </c>
    </row>
    <row r="97" customFormat="false" ht="15" hidden="false" customHeight="false" outlineLevel="0" collapsed="false">
      <c r="A97" s="2" t="s">
        <v>205</v>
      </c>
      <c r="B97" s="2" t="s">
        <v>206</v>
      </c>
      <c r="C97" s="2" t="s">
        <v>36</v>
      </c>
      <c r="D97" s="3" t="n">
        <v>74.9</v>
      </c>
      <c r="E97" s="3" t="n">
        <v>66</v>
      </c>
      <c r="F97" s="3" t="n">
        <v>65</v>
      </c>
      <c r="G97" s="3" t="n">
        <v>50</v>
      </c>
      <c r="H97" s="3" t="n">
        <v>70</v>
      </c>
      <c r="I97" s="3" t="n">
        <f aca="false">AVERAGE(E97:H97)</f>
        <v>62.75</v>
      </c>
      <c r="J97" s="2" t="str">
        <f aca="false">IF(OR(I97&lt;60,D97&lt;75),"At Risk",IF(I97&lt;70,"Watch","OK"))</f>
        <v>At Risk</v>
      </c>
    </row>
    <row r="98" customFormat="false" ht="15" hidden="false" customHeight="false" outlineLevel="0" collapsed="false">
      <c r="A98" s="2" t="s">
        <v>207</v>
      </c>
      <c r="B98" s="2" t="s">
        <v>208</v>
      </c>
      <c r="C98" s="2" t="s">
        <v>36</v>
      </c>
      <c r="D98" s="3" t="n">
        <v>79.2</v>
      </c>
      <c r="E98" s="3" t="n">
        <v>64</v>
      </c>
      <c r="F98" s="3" t="n">
        <v>92</v>
      </c>
      <c r="G98" s="3" t="n">
        <v>77</v>
      </c>
      <c r="H98" s="3" t="n">
        <v>73</v>
      </c>
      <c r="I98" s="3" t="n">
        <f aca="false">AVERAGE(E98:H98)</f>
        <v>76.5</v>
      </c>
      <c r="J98" s="2" t="str">
        <f aca="false">IF(OR(I98&lt;60,D98&lt;75),"At Risk",IF(I98&lt;70,"Watch","OK"))</f>
        <v>OK</v>
      </c>
    </row>
    <row r="99" customFormat="false" ht="15" hidden="false" customHeight="false" outlineLevel="0" collapsed="false">
      <c r="A99" s="2" t="s">
        <v>209</v>
      </c>
      <c r="B99" s="2" t="s">
        <v>210</v>
      </c>
      <c r="C99" s="2" t="s">
        <v>36</v>
      </c>
      <c r="D99" s="3" t="n">
        <v>83.3</v>
      </c>
      <c r="E99" s="3" t="n">
        <v>57</v>
      </c>
      <c r="F99" s="3" t="n">
        <v>69</v>
      </c>
      <c r="G99" s="3" t="n">
        <v>92</v>
      </c>
      <c r="H99" s="3" t="n">
        <v>61</v>
      </c>
      <c r="I99" s="3" t="n">
        <f aca="false">AVERAGE(E99:H99)</f>
        <v>69.75</v>
      </c>
      <c r="J99" s="2" t="str">
        <f aca="false">IF(OR(I99&lt;60,D99&lt;75),"At Risk",IF(I99&lt;70,"Watch","OK"))</f>
        <v>Watch</v>
      </c>
    </row>
    <row r="100" customFormat="false" ht="15" hidden="false" customHeight="false" outlineLevel="0" collapsed="false">
      <c r="A100" s="2" t="s">
        <v>211</v>
      </c>
      <c r="B100" s="2" t="s">
        <v>212</v>
      </c>
      <c r="C100" s="2" t="s">
        <v>15</v>
      </c>
      <c r="D100" s="3" t="n">
        <v>91</v>
      </c>
      <c r="E100" s="3" t="n">
        <v>72</v>
      </c>
      <c r="F100" s="3" t="n">
        <v>77</v>
      </c>
      <c r="G100" s="3" t="n">
        <v>94</v>
      </c>
      <c r="H100" s="3" t="n">
        <v>94</v>
      </c>
      <c r="I100" s="3" t="n">
        <f aca="false">AVERAGE(E100:H100)</f>
        <v>84.25</v>
      </c>
      <c r="J100" s="2" t="str">
        <f aca="false">IF(OR(I100&lt;60,D100&lt;75),"At Risk",IF(I100&lt;70,"Watch","OK"))</f>
        <v>OK</v>
      </c>
    </row>
    <row r="101" customFormat="false" ht="15" hidden="false" customHeight="false" outlineLevel="0" collapsed="false">
      <c r="A101" s="2" t="s">
        <v>213</v>
      </c>
      <c r="B101" s="2" t="s">
        <v>214</v>
      </c>
      <c r="C101" s="2" t="s">
        <v>21</v>
      </c>
      <c r="D101" s="3" t="n">
        <v>85.3</v>
      </c>
      <c r="E101" s="3" t="n">
        <v>70</v>
      </c>
      <c r="F101" s="3" t="n">
        <v>75</v>
      </c>
      <c r="G101" s="3" t="n">
        <v>88</v>
      </c>
      <c r="H101" s="3" t="n">
        <v>78</v>
      </c>
      <c r="I101" s="3" t="n">
        <f aca="false">AVERAGE(E101:H101)</f>
        <v>77.75</v>
      </c>
      <c r="J101" s="2" t="str">
        <f aca="false">IF(OR(I101&lt;60,D101&lt;75),"At Risk",IF(I101&lt;70,"Watch","OK"))</f>
        <v>OK</v>
      </c>
    </row>
    <row r="102" customFormat="false" ht="15" hidden="false" customHeight="false" outlineLevel="0" collapsed="false">
      <c r="A102" s="2" t="s">
        <v>215</v>
      </c>
      <c r="B102" s="2" t="s">
        <v>216</v>
      </c>
      <c r="C102" s="2" t="s">
        <v>21</v>
      </c>
      <c r="D102" s="3" t="n">
        <v>65.8</v>
      </c>
      <c r="E102" s="3" t="n">
        <v>58</v>
      </c>
      <c r="F102" s="3" t="n">
        <v>74</v>
      </c>
      <c r="G102" s="3" t="n">
        <v>66</v>
      </c>
      <c r="H102" s="3" t="n">
        <v>44</v>
      </c>
      <c r="I102" s="3" t="n">
        <f aca="false">AVERAGE(E102:H102)</f>
        <v>60.5</v>
      </c>
      <c r="J102" s="2" t="str">
        <f aca="false">IF(OR(I102&lt;60,D102&lt;75),"At Risk",IF(I102&lt;70,"Watch","OK"))</f>
        <v>At Risk</v>
      </c>
    </row>
    <row r="103" customFormat="false" ht="15" hidden="false" customHeight="false" outlineLevel="0" collapsed="false">
      <c r="A103" s="2" t="s">
        <v>217</v>
      </c>
      <c r="B103" s="2" t="s">
        <v>218</v>
      </c>
      <c r="C103" s="2" t="s">
        <v>15</v>
      </c>
      <c r="D103" s="3" t="n">
        <v>67.2</v>
      </c>
      <c r="E103" s="3" t="n">
        <v>58</v>
      </c>
      <c r="F103" s="3" t="n">
        <v>44</v>
      </c>
      <c r="G103" s="3" t="n">
        <v>42</v>
      </c>
      <c r="H103" s="3" t="n">
        <v>35</v>
      </c>
      <c r="I103" s="3" t="n">
        <f aca="false">AVERAGE(E103:H103)</f>
        <v>44.75</v>
      </c>
      <c r="J103" s="2" t="str">
        <f aca="false">IF(OR(I103&lt;60,D103&lt;75),"At Risk",IF(I103&lt;70,"Watch","OK"))</f>
        <v>At Risk</v>
      </c>
    </row>
    <row r="104" customFormat="false" ht="15" hidden="false" customHeight="false" outlineLevel="0" collapsed="false">
      <c r="A104" s="2" t="s">
        <v>219</v>
      </c>
      <c r="B104" s="2" t="s">
        <v>220</v>
      </c>
      <c r="C104" s="2" t="s">
        <v>18</v>
      </c>
      <c r="D104" s="3" t="n">
        <v>88.5</v>
      </c>
      <c r="E104" s="3" t="n">
        <v>73</v>
      </c>
      <c r="F104" s="3" t="n">
        <v>79</v>
      </c>
      <c r="G104" s="3" t="n">
        <v>72</v>
      </c>
      <c r="H104" s="3" t="n">
        <v>87</v>
      </c>
      <c r="I104" s="3" t="n">
        <f aca="false">AVERAGE(E104:H104)</f>
        <v>77.75</v>
      </c>
      <c r="J104" s="2" t="str">
        <f aca="false">IF(OR(I104&lt;60,D104&lt;75),"At Risk",IF(I104&lt;70,"Watch","OK"))</f>
        <v>OK</v>
      </c>
    </row>
    <row r="105" customFormat="false" ht="15" hidden="false" customHeight="false" outlineLevel="0" collapsed="false">
      <c r="A105" s="2" t="s">
        <v>221</v>
      </c>
      <c r="B105" s="2" t="s">
        <v>222</v>
      </c>
      <c r="C105" s="2" t="s">
        <v>18</v>
      </c>
      <c r="D105" s="3" t="n">
        <v>89.8</v>
      </c>
      <c r="E105" s="3" t="n">
        <v>73</v>
      </c>
      <c r="F105" s="3" t="n">
        <v>100</v>
      </c>
      <c r="G105" s="3" t="n">
        <v>86</v>
      </c>
      <c r="H105" s="3" t="n">
        <v>66</v>
      </c>
      <c r="I105" s="3" t="n">
        <f aca="false">AVERAGE(E105:H105)</f>
        <v>81.25</v>
      </c>
      <c r="J105" s="2" t="str">
        <f aca="false">IF(OR(I105&lt;60,D105&lt;75),"At Risk",IF(I105&lt;70,"Watch","OK"))</f>
        <v>OK</v>
      </c>
    </row>
    <row r="106" customFormat="false" ht="15" hidden="false" customHeight="false" outlineLevel="0" collapsed="false">
      <c r="A106" s="2" t="s">
        <v>223</v>
      </c>
      <c r="B106" s="2" t="s">
        <v>224</v>
      </c>
      <c r="C106" s="2" t="s">
        <v>21</v>
      </c>
      <c r="D106" s="3" t="n">
        <v>78</v>
      </c>
      <c r="E106" s="3" t="n">
        <v>83</v>
      </c>
      <c r="F106" s="3" t="n">
        <v>82</v>
      </c>
      <c r="G106" s="3" t="n">
        <v>83</v>
      </c>
      <c r="H106" s="3" t="n">
        <v>51</v>
      </c>
      <c r="I106" s="3" t="n">
        <f aca="false">AVERAGE(E106:H106)</f>
        <v>74.75</v>
      </c>
      <c r="J106" s="2" t="str">
        <f aca="false">IF(OR(I106&lt;60,D106&lt;75),"At Risk",IF(I106&lt;70,"Watch","OK"))</f>
        <v>OK</v>
      </c>
    </row>
    <row r="107" customFormat="false" ht="15" hidden="false" customHeight="false" outlineLevel="0" collapsed="false">
      <c r="A107" s="2" t="s">
        <v>225</v>
      </c>
      <c r="B107" s="2" t="s">
        <v>226</v>
      </c>
      <c r="C107" s="2" t="s">
        <v>18</v>
      </c>
      <c r="D107" s="3" t="n">
        <v>83</v>
      </c>
      <c r="E107" s="3" t="n">
        <v>77</v>
      </c>
      <c r="F107" s="3" t="n">
        <v>84</v>
      </c>
      <c r="G107" s="3" t="n">
        <v>74</v>
      </c>
      <c r="H107" s="3" t="n">
        <v>56</v>
      </c>
      <c r="I107" s="3" t="n">
        <f aca="false">AVERAGE(E107:H107)</f>
        <v>72.75</v>
      </c>
      <c r="J107" s="2" t="str">
        <f aca="false">IF(OR(I107&lt;60,D107&lt;75),"At Risk",IF(I107&lt;70,"Watch","OK"))</f>
        <v>OK</v>
      </c>
    </row>
    <row r="108" customFormat="false" ht="15" hidden="false" customHeight="false" outlineLevel="0" collapsed="false">
      <c r="A108" s="2" t="s">
        <v>227</v>
      </c>
      <c r="B108" s="2" t="s">
        <v>228</v>
      </c>
      <c r="C108" s="2" t="s">
        <v>36</v>
      </c>
      <c r="D108" s="3" t="n">
        <v>78.5</v>
      </c>
      <c r="E108" s="3" t="n">
        <v>75</v>
      </c>
      <c r="F108" s="3" t="n">
        <v>76</v>
      </c>
      <c r="G108" s="3" t="n">
        <v>79</v>
      </c>
      <c r="H108" s="3" t="n">
        <v>59</v>
      </c>
      <c r="I108" s="3" t="n">
        <f aca="false">AVERAGE(E108:H108)</f>
        <v>72.25</v>
      </c>
      <c r="J108" s="2" t="str">
        <f aca="false">IF(OR(I108&lt;60,D108&lt;75),"At Risk",IF(I108&lt;70,"Watch","OK"))</f>
        <v>OK</v>
      </c>
    </row>
    <row r="109" customFormat="false" ht="15" hidden="false" customHeight="false" outlineLevel="0" collapsed="false">
      <c r="A109" s="2" t="s">
        <v>229</v>
      </c>
      <c r="B109" s="2" t="s">
        <v>230</v>
      </c>
      <c r="C109" s="2" t="s">
        <v>36</v>
      </c>
      <c r="D109" s="3" t="n">
        <v>90.1</v>
      </c>
      <c r="E109" s="3" t="n">
        <v>79</v>
      </c>
      <c r="F109" s="3" t="n">
        <v>82</v>
      </c>
      <c r="G109" s="3" t="n">
        <v>73</v>
      </c>
      <c r="H109" s="3" t="n">
        <v>85</v>
      </c>
      <c r="I109" s="3" t="n">
        <f aca="false">AVERAGE(E109:H109)</f>
        <v>79.75</v>
      </c>
      <c r="J109" s="2" t="str">
        <f aca="false">IF(OR(I109&lt;60,D109&lt;75),"At Risk",IF(I109&lt;70,"Watch","OK"))</f>
        <v>OK</v>
      </c>
    </row>
    <row r="110" customFormat="false" ht="15" hidden="false" customHeight="false" outlineLevel="0" collapsed="false">
      <c r="A110" s="2" t="s">
        <v>231</v>
      </c>
      <c r="B110" s="2" t="s">
        <v>232</v>
      </c>
      <c r="C110" s="2" t="s">
        <v>12</v>
      </c>
      <c r="D110" s="3" t="n">
        <v>88.8</v>
      </c>
      <c r="E110" s="3" t="n">
        <v>95</v>
      </c>
      <c r="F110" s="3" t="n">
        <v>100</v>
      </c>
      <c r="G110" s="3" t="n">
        <v>74</v>
      </c>
      <c r="H110" s="3" t="n">
        <v>97</v>
      </c>
      <c r="I110" s="3" t="n">
        <f aca="false">AVERAGE(E110:H110)</f>
        <v>91.5</v>
      </c>
      <c r="J110" s="2" t="str">
        <f aca="false">IF(OR(I110&lt;60,D110&lt;75),"At Risk",IF(I110&lt;70,"Watch","OK"))</f>
        <v>OK</v>
      </c>
    </row>
    <row r="111" customFormat="false" ht="15" hidden="false" customHeight="false" outlineLevel="0" collapsed="false">
      <c r="A111" s="2" t="s">
        <v>233</v>
      </c>
      <c r="B111" s="2" t="s">
        <v>234</v>
      </c>
      <c r="C111" s="2" t="s">
        <v>18</v>
      </c>
      <c r="D111" s="3" t="n">
        <v>77.7</v>
      </c>
      <c r="E111" s="3" t="n">
        <v>57</v>
      </c>
      <c r="F111" s="3" t="n">
        <v>64</v>
      </c>
      <c r="G111" s="3" t="n">
        <v>80</v>
      </c>
      <c r="H111" s="3" t="n">
        <v>61</v>
      </c>
      <c r="I111" s="3" t="n">
        <f aca="false">AVERAGE(E111:H111)</f>
        <v>65.5</v>
      </c>
      <c r="J111" s="2" t="str">
        <f aca="false">IF(OR(I111&lt;60,D111&lt;75),"At Risk",IF(I111&lt;70,"Watch","OK"))</f>
        <v>Watch</v>
      </c>
    </row>
    <row r="112" customFormat="false" ht="15" hidden="false" customHeight="false" outlineLevel="0" collapsed="false">
      <c r="A112" s="2" t="s">
        <v>235</v>
      </c>
      <c r="B112" s="2" t="s">
        <v>236</v>
      </c>
      <c r="C112" s="2" t="s">
        <v>21</v>
      </c>
      <c r="D112" s="3" t="n">
        <v>91.4</v>
      </c>
      <c r="E112" s="3" t="n">
        <v>88</v>
      </c>
      <c r="F112" s="3" t="n">
        <v>73</v>
      </c>
      <c r="G112" s="3" t="n">
        <v>84</v>
      </c>
      <c r="H112" s="3" t="n">
        <v>72</v>
      </c>
      <c r="I112" s="3" t="n">
        <f aca="false">AVERAGE(E112:H112)</f>
        <v>79.25</v>
      </c>
      <c r="J112" s="2" t="str">
        <f aca="false">IF(OR(I112&lt;60,D112&lt;75),"At Risk",IF(I112&lt;70,"Watch","OK"))</f>
        <v>OK</v>
      </c>
    </row>
    <row r="113" customFormat="false" ht="15" hidden="false" customHeight="false" outlineLevel="0" collapsed="false">
      <c r="A113" s="2" t="s">
        <v>237</v>
      </c>
      <c r="B113" s="2" t="s">
        <v>238</v>
      </c>
      <c r="C113" s="2" t="s">
        <v>21</v>
      </c>
      <c r="D113" s="3" t="n">
        <v>92.8</v>
      </c>
      <c r="E113" s="3" t="n">
        <v>67</v>
      </c>
      <c r="F113" s="3" t="n">
        <v>74</v>
      </c>
      <c r="G113" s="3" t="n">
        <v>91</v>
      </c>
      <c r="H113" s="3" t="n">
        <v>73</v>
      </c>
      <c r="I113" s="3" t="n">
        <f aca="false">AVERAGE(E113:H113)</f>
        <v>76.25</v>
      </c>
      <c r="J113" s="2" t="str">
        <f aca="false">IF(OR(I113&lt;60,D113&lt;75),"At Risk",IF(I113&lt;70,"Watch","OK"))</f>
        <v>OK</v>
      </c>
    </row>
    <row r="114" customFormat="false" ht="15" hidden="false" customHeight="false" outlineLevel="0" collapsed="false">
      <c r="A114" s="2" t="s">
        <v>239</v>
      </c>
      <c r="B114" s="2" t="s">
        <v>240</v>
      </c>
      <c r="C114" s="2" t="s">
        <v>21</v>
      </c>
      <c r="D114" s="3" t="n">
        <v>86.6</v>
      </c>
      <c r="E114" s="3" t="n">
        <v>64</v>
      </c>
      <c r="F114" s="3" t="n">
        <v>73</v>
      </c>
      <c r="G114" s="3" t="n">
        <v>73</v>
      </c>
      <c r="H114" s="3" t="n">
        <v>84</v>
      </c>
      <c r="I114" s="3" t="n">
        <f aca="false">AVERAGE(E114:H114)</f>
        <v>73.5</v>
      </c>
      <c r="J114" s="2" t="str">
        <f aca="false">IF(OR(I114&lt;60,D114&lt;75),"At Risk",IF(I114&lt;70,"Watch","OK"))</f>
        <v>OK</v>
      </c>
    </row>
    <row r="115" customFormat="false" ht="15" hidden="false" customHeight="false" outlineLevel="0" collapsed="false">
      <c r="A115" s="2" t="s">
        <v>241</v>
      </c>
      <c r="B115" s="2" t="s">
        <v>242</v>
      </c>
      <c r="C115" s="2" t="s">
        <v>15</v>
      </c>
      <c r="D115" s="3" t="n">
        <v>82.1</v>
      </c>
      <c r="E115" s="3" t="n">
        <v>80</v>
      </c>
      <c r="F115" s="3" t="n">
        <v>62</v>
      </c>
      <c r="G115" s="3" t="n">
        <v>66</v>
      </c>
      <c r="H115" s="3" t="n">
        <v>84</v>
      </c>
      <c r="I115" s="3" t="n">
        <f aca="false">AVERAGE(E115:H115)</f>
        <v>73</v>
      </c>
      <c r="J115" s="2" t="str">
        <f aca="false">IF(OR(I115&lt;60,D115&lt;75),"At Risk",IF(I115&lt;70,"Watch","OK"))</f>
        <v>OK</v>
      </c>
    </row>
    <row r="116" customFormat="false" ht="15" hidden="false" customHeight="false" outlineLevel="0" collapsed="false">
      <c r="A116" s="2" t="s">
        <v>243</v>
      </c>
      <c r="B116" s="2" t="s">
        <v>244</v>
      </c>
      <c r="C116" s="2" t="s">
        <v>18</v>
      </c>
      <c r="D116" s="3" t="n">
        <v>96.6</v>
      </c>
      <c r="E116" s="3" t="n">
        <v>100</v>
      </c>
      <c r="F116" s="3" t="n">
        <v>100</v>
      </c>
      <c r="G116" s="3" t="n">
        <v>84</v>
      </c>
      <c r="H116" s="3" t="n">
        <v>91</v>
      </c>
      <c r="I116" s="3" t="n">
        <f aca="false">AVERAGE(E116:H116)</f>
        <v>93.75</v>
      </c>
      <c r="J116" s="2" t="str">
        <f aca="false">IF(OR(I116&lt;60,D116&lt;75),"At Risk",IF(I116&lt;70,"Watch","OK"))</f>
        <v>OK</v>
      </c>
    </row>
    <row r="117" customFormat="false" ht="15" hidden="false" customHeight="false" outlineLevel="0" collapsed="false">
      <c r="A117" s="2" t="s">
        <v>245</v>
      </c>
      <c r="B117" s="2" t="s">
        <v>246</v>
      </c>
      <c r="C117" s="2" t="s">
        <v>15</v>
      </c>
      <c r="D117" s="3" t="n">
        <v>94.6</v>
      </c>
      <c r="E117" s="3" t="n">
        <v>91</v>
      </c>
      <c r="F117" s="3" t="n">
        <v>85</v>
      </c>
      <c r="G117" s="3" t="n">
        <v>100</v>
      </c>
      <c r="H117" s="3" t="n">
        <v>62</v>
      </c>
      <c r="I117" s="3" t="n">
        <f aca="false">AVERAGE(E117:H117)</f>
        <v>84.5</v>
      </c>
      <c r="J117" s="2" t="str">
        <f aca="false">IF(OR(I117&lt;60,D117&lt;75),"At Risk",IF(I117&lt;70,"Watch","OK"))</f>
        <v>OK</v>
      </c>
    </row>
    <row r="118" customFormat="false" ht="15" hidden="false" customHeight="false" outlineLevel="0" collapsed="false">
      <c r="A118" s="2" t="s">
        <v>247</v>
      </c>
      <c r="B118" s="2" t="s">
        <v>248</v>
      </c>
      <c r="C118" s="2" t="s">
        <v>21</v>
      </c>
      <c r="D118" s="3" t="n">
        <v>80.8</v>
      </c>
      <c r="E118" s="3" t="n">
        <v>65</v>
      </c>
      <c r="F118" s="3" t="n">
        <v>55</v>
      </c>
      <c r="G118" s="3" t="n">
        <v>85</v>
      </c>
      <c r="H118" s="3" t="n">
        <v>52</v>
      </c>
      <c r="I118" s="3" t="n">
        <f aca="false">AVERAGE(E118:H118)</f>
        <v>64.25</v>
      </c>
      <c r="J118" s="2" t="str">
        <f aca="false">IF(OR(I118&lt;60,D118&lt;75),"At Risk",IF(I118&lt;70,"Watch","OK"))</f>
        <v>Watch</v>
      </c>
    </row>
    <row r="119" customFormat="false" ht="15" hidden="false" customHeight="false" outlineLevel="0" collapsed="false">
      <c r="A119" s="2" t="s">
        <v>249</v>
      </c>
      <c r="B119" s="2" t="s">
        <v>250</v>
      </c>
      <c r="C119" s="2" t="s">
        <v>21</v>
      </c>
      <c r="D119" s="3" t="n">
        <v>88.3</v>
      </c>
      <c r="E119" s="3" t="n">
        <v>89</v>
      </c>
      <c r="F119" s="3" t="n">
        <v>69</v>
      </c>
      <c r="G119" s="3" t="n">
        <v>62</v>
      </c>
      <c r="H119" s="3" t="n">
        <v>74</v>
      </c>
      <c r="I119" s="3" t="n">
        <f aca="false">AVERAGE(E119:H119)</f>
        <v>73.5</v>
      </c>
      <c r="J119" s="2" t="str">
        <f aca="false">IF(OR(I119&lt;60,D119&lt;75),"At Risk",IF(I119&lt;70,"Watch","OK"))</f>
        <v>OK</v>
      </c>
    </row>
    <row r="120" customFormat="false" ht="15" hidden="false" customHeight="false" outlineLevel="0" collapsed="false">
      <c r="A120" s="2" t="s">
        <v>251</v>
      </c>
      <c r="B120" s="2" t="s">
        <v>252</v>
      </c>
      <c r="C120" s="2" t="s">
        <v>18</v>
      </c>
      <c r="D120" s="3" t="n">
        <v>97.4</v>
      </c>
      <c r="E120" s="3" t="n">
        <v>89</v>
      </c>
      <c r="F120" s="3" t="n">
        <v>69</v>
      </c>
      <c r="G120" s="3" t="n">
        <v>93</v>
      </c>
      <c r="H120" s="3" t="n">
        <v>92</v>
      </c>
      <c r="I120" s="3" t="n">
        <f aca="false">AVERAGE(E120:H120)</f>
        <v>85.75</v>
      </c>
      <c r="J120" s="2" t="str">
        <f aca="false">IF(OR(I120&lt;60,D120&lt;75),"At Risk",IF(I120&lt;70,"Watch","OK"))</f>
        <v>OK</v>
      </c>
    </row>
    <row r="121" customFormat="false" ht="15" hidden="false" customHeight="false" outlineLevel="0" collapsed="false">
      <c r="A121" s="2" t="s">
        <v>253</v>
      </c>
      <c r="B121" s="2" t="s">
        <v>254</v>
      </c>
      <c r="C121" s="2" t="s">
        <v>12</v>
      </c>
      <c r="D121" s="3" t="n">
        <v>80.4</v>
      </c>
      <c r="E121" s="3" t="n">
        <v>81</v>
      </c>
      <c r="F121" s="3" t="n">
        <v>74</v>
      </c>
      <c r="G121" s="3" t="n">
        <v>62</v>
      </c>
      <c r="H121" s="3" t="n">
        <v>74</v>
      </c>
      <c r="I121" s="3" t="n">
        <f aca="false">AVERAGE(E121:H121)</f>
        <v>72.75</v>
      </c>
      <c r="J121" s="2" t="str">
        <f aca="false">IF(OR(I121&lt;60,D121&lt;75),"At Risk",IF(I121&lt;70,"Watch","OK"))</f>
        <v>OK</v>
      </c>
    </row>
  </sheetData>
  <autoFilter ref="A1:J121"/>
  <conditionalFormatting sqref="J2:J121">
    <cfRule type="cellIs" priority="2" operator="equal" aboveAverage="0" equalAverage="0" bottom="0" percent="0" rank="0" text="" dxfId="6">
      <formula>"At Risk"</formula>
    </cfRule>
    <cfRule type="cellIs" priority="3" operator="equal" aboveAverage="0" equalAverage="0" bottom="0" percent="0" rank="0" text="" dxfId="7">
      <formula>"Watch"</formula>
    </cfRule>
    <cfRule type="cellIs" priority="4" operator="equal" aboveAverage="0" equalAverage="0" bottom="0" percent="0" rank="0" text="" dxfId="8">
      <formula>"OK"</formula>
    </cfRule>
  </conditionalFormatting>
  <conditionalFormatting sqref="D2:D121">
    <cfRule type="cellIs" priority="5" operator="lessThan" aboveAverage="0" equalAverage="0" bottom="0" percent="0" rank="0" text="" dxfId="6">
      <formula>75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4" t="s">
        <v>255</v>
      </c>
    </row>
    <row r="3" customFormat="false" ht="15" hidden="false" customHeight="false" outlineLevel="0" collapsed="false">
      <c r="A3" s="5" t="s">
        <v>256</v>
      </c>
      <c r="B3" s="6" t="s">
        <v>10</v>
      </c>
    </row>
    <row r="5" customFormat="false" ht="15" hidden="false" customHeight="false" outlineLevel="0" collapsed="false">
      <c r="A5" s="5" t="s">
        <v>1</v>
      </c>
      <c r="B5" s="2" t="str">
        <f aca="false">IFERROR(VLOOKUP($B$3,'Student Data'!$A$2:$J$121,2,FALSE()),"Not found")</f>
        <v>Amit Khan</v>
      </c>
    </row>
    <row r="6" customFormat="false" ht="15" hidden="false" customHeight="false" outlineLevel="0" collapsed="false">
      <c r="A6" s="5" t="s">
        <v>2</v>
      </c>
      <c r="B6" s="2" t="str">
        <f aca="false">IFERROR(VLOOKUP($B$3,'Student Data'!$A$2:$J$121,3,FALSE()),"Not found")</f>
        <v>Grade 9-A</v>
      </c>
    </row>
    <row r="7" customFormat="false" ht="15" hidden="false" customHeight="false" outlineLevel="0" collapsed="false">
      <c r="A7" s="5" t="s">
        <v>3</v>
      </c>
      <c r="B7" s="2" t="n">
        <f aca="false">IFERROR(VLOOKUP($B$3,'Student Data'!$A$2:$J$121,4,FALSE()),"Not found")</f>
        <v>90.8</v>
      </c>
    </row>
    <row r="8" customFormat="false" ht="15" hidden="false" customHeight="false" outlineLevel="0" collapsed="false">
      <c r="A8" s="5" t="s">
        <v>257</v>
      </c>
      <c r="B8" s="2" t="n">
        <f aca="false">IFERROR(VLOOKUP($B$3,'Student Data'!$A$2:$J$121,5,FALSE()),"Not found")</f>
        <v>81</v>
      </c>
    </row>
    <row r="9" customFormat="false" ht="15" hidden="false" customHeight="false" outlineLevel="0" collapsed="false">
      <c r="A9" s="5" t="s">
        <v>258</v>
      </c>
      <c r="B9" s="2" t="n">
        <f aca="false">IFERROR(VLOOKUP($B$3,'Student Data'!$A$2:$J$121,6,FALSE()),"Not found")</f>
        <v>87</v>
      </c>
    </row>
    <row r="10" customFormat="false" ht="15" hidden="false" customHeight="false" outlineLevel="0" collapsed="false">
      <c r="A10" s="5" t="s">
        <v>259</v>
      </c>
      <c r="B10" s="2" t="n">
        <f aca="false">IFERROR(VLOOKUP($B$3,'Student Data'!$A$2:$J$121,7,FALSE()),"Not found")</f>
        <v>97</v>
      </c>
    </row>
    <row r="11" customFormat="false" ht="15" hidden="false" customHeight="false" outlineLevel="0" collapsed="false">
      <c r="A11" s="5" t="s">
        <v>260</v>
      </c>
      <c r="B11" s="2" t="n">
        <f aca="false">IFERROR(VLOOKUP($B$3,'Student Data'!$A$2:$J$121,8,FALSE()),"Not found")</f>
        <v>93</v>
      </c>
    </row>
    <row r="12" customFormat="false" ht="15" hidden="false" customHeight="false" outlineLevel="0" collapsed="false">
      <c r="A12" s="5" t="s">
        <v>8</v>
      </c>
      <c r="B12" s="2" t="n">
        <f aca="false">IFERROR(VLOOKUP($B$3,'Student Data'!$A$2:$J$121,9,FALSE()),"Not found")</f>
        <v>89.5</v>
      </c>
    </row>
    <row r="13" customFormat="false" ht="15" hidden="false" customHeight="false" outlineLevel="0" collapsed="false">
      <c r="A13" s="5" t="s">
        <v>9</v>
      </c>
      <c r="B13" s="2" t="str">
        <f aca="false">IFERROR(VLOOKUP($B$3,'Student Data'!$A$2:$J$121,10,FALSE()),"Not found")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4" t="s">
        <v>261</v>
      </c>
    </row>
    <row r="3" customFormat="false" ht="15" hidden="false" customHeight="false" outlineLevel="0" collapsed="false">
      <c r="A3" s="7" t="s">
        <v>2</v>
      </c>
      <c r="B3" s="7" t="s">
        <v>262</v>
      </c>
      <c r="C3" s="7" t="s">
        <v>263</v>
      </c>
      <c r="D3" s="7" t="s">
        <v>264</v>
      </c>
      <c r="E3" s="7" t="s">
        <v>265</v>
      </c>
    </row>
    <row r="4" customFormat="false" ht="15" hidden="false" customHeight="false" outlineLevel="0" collapsed="false">
      <c r="A4" s="2" t="s">
        <v>21</v>
      </c>
      <c r="B4" s="2" t="n">
        <f aca="false">COUNTIF('Student Data'!$C$2:$C$121,A4)</f>
        <v>24</v>
      </c>
      <c r="C4" s="2" t="n">
        <f aca="false">ROUND(AVERAGEIF('Student Data'!$C$2:$C$121,A4,'Student Data'!$D$2:$D$121),1)</f>
        <v>84</v>
      </c>
      <c r="D4" s="2" t="n">
        <f aca="false">ROUND(AVERAGEIF('Student Data'!$C$2:$C$121,A4,'Student Data'!$I$2:$I$121),1)</f>
        <v>73.2</v>
      </c>
      <c r="E4" s="2" t="n">
        <f aca="false">COUNTIFS('Student Data'!$C$2:$C$121,A4,'Student Data'!$J$2:$J$121,"At Risk")</f>
        <v>2</v>
      </c>
    </row>
    <row r="5" customFormat="false" ht="15" hidden="false" customHeight="false" outlineLevel="0" collapsed="false">
      <c r="A5" s="2" t="s">
        <v>18</v>
      </c>
      <c r="B5" s="2" t="n">
        <f aca="false">COUNTIF('Student Data'!$C$2:$C$121,A5)</f>
        <v>23</v>
      </c>
      <c r="C5" s="2" t="n">
        <f aca="false">ROUND(AVERAGEIF('Student Data'!$C$2:$C$121,A5,'Student Data'!$D$2:$D$121),1)</f>
        <v>84.1</v>
      </c>
      <c r="D5" s="2" t="n">
        <f aca="false">ROUND(AVERAGEIF('Student Data'!$C$2:$C$121,A5,'Student Data'!$I$2:$I$121),1)</f>
        <v>73.6</v>
      </c>
      <c r="E5" s="2" t="n">
        <f aca="false">COUNTIFS('Student Data'!$C$2:$C$121,A5,'Student Data'!$J$2:$J$121,"At Risk")</f>
        <v>3</v>
      </c>
    </row>
    <row r="6" customFormat="false" ht="15" hidden="false" customHeight="false" outlineLevel="0" collapsed="false">
      <c r="A6" s="2" t="s">
        <v>15</v>
      </c>
      <c r="B6" s="2" t="n">
        <f aca="false">COUNTIF('Student Data'!$C$2:$C$121,A6)</f>
        <v>29</v>
      </c>
      <c r="C6" s="2" t="n">
        <f aca="false">ROUND(AVERAGEIF('Student Data'!$C$2:$C$121,A6,'Student Data'!$D$2:$D$121),1)</f>
        <v>85</v>
      </c>
      <c r="D6" s="2" t="n">
        <f aca="false">ROUND(AVERAGEIF('Student Data'!$C$2:$C$121,A6,'Student Data'!$I$2:$I$121),1)</f>
        <v>76.7</v>
      </c>
      <c r="E6" s="2" t="n">
        <f aca="false">COUNTIFS('Student Data'!$C$2:$C$121,A6,'Student Data'!$J$2:$J$121,"At Risk")</f>
        <v>6</v>
      </c>
    </row>
    <row r="7" customFormat="false" ht="15" hidden="false" customHeight="false" outlineLevel="0" collapsed="false">
      <c r="A7" s="2" t="s">
        <v>12</v>
      </c>
      <c r="B7" s="2" t="n">
        <f aca="false">COUNTIF('Student Data'!$C$2:$C$121,A7)</f>
        <v>24</v>
      </c>
      <c r="C7" s="2" t="n">
        <f aca="false">ROUND(AVERAGEIF('Student Data'!$C$2:$C$121,A7,'Student Data'!$D$2:$D$121),1)</f>
        <v>87.4</v>
      </c>
      <c r="D7" s="2" t="n">
        <f aca="false">ROUND(AVERAGEIF('Student Data'!$C$2:$C$121,A7,'Student Data'!$I$2:$I$121),1)</f>
        <v>79.4</v>
      </c>
      <c r="E7" s="2" t="n">
        <f aca="false">COUNTIFS('Student Data'!$C$2:$C$121,A7,'Student Data'!$J$2:$J$121,"At Risk")</f>
        <v>1</v>
      </c>
    </row>
    <row r="8" customFormat="false" ht="15" hidden="false" customHeight="false" outlineLevel="0" collapsed="false">
      <c r="A8" s="2" t="s">
        <v>36</v>
      </c>
      <c r="B8" s="2" t="n">
        <f aca="false">COUNTIF('Student Data'!$C$2:$C$121,A8)</f>
        <v>20</v>
      </c>
      <c r="C8" s="2" t="n">
        <f aca="false">ROUND(AVERAGEIF('Student Data'!$C$2:$C$121,A8,'Student Data'!$D$2:$D$121),1)</f>
        <v>83.5</v>
      </c>
      <c r="D8" s="2" t="n">
        <f aca="false">ROUND(AVERAGEIF('Student Data'!$C$2:$C$121,A8,'Student Data'!$I$2:$I$121),1)</f>
        <v>73.9</v>
      </c>
      <c r="E8" s="2" t="n">
        <f aca="false">COUNTIFS('Student Data'!$C$2:$C$121,A8,'Student Data'!$J$2:$J$121,"At Risk")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2026-07-20T12:20:16Z</dcterms:created>
  <dc:creator>openpyxl</dc:creator>
  <dc:description/>
  <dc:language>en-US</dc:language>
  <cp:lastModifiedBy/>
  <dcterms:modified xsi:type="dcterms:W3CDTF">2026-07-20T12:20:16Z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